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nz_whv_dashboard\data\"/>
    </mc:Choice>
  </mc:AlternateContent>
  <xr:revisionPtr revIDLastSave="0" documentId="8_{6F0828E6-B337-4126-9F3C-C00FD7F4C3C6}" xr6:coauthVersionLast="47" xr6:coauthVersionMax="47" xr10:uidLastSave="{00000000-0000-0000-0000-000000000000}"/>
  <bookViews>
    <workbookView xWindow="38280" yWindow="3135" windowWidth="29040" windowHeight="15720" activeTab="1" xr2:uid="{797A7B7D-C6B5-4EC8-BB95-851447421A93}"/>
  </bookViews>
  <sheets>
    <sheet name="garmin_activities" sheetId="1" r:id="rId1"/>
    <sheet name="garmin_steps" sheetId="2" r:id="rId2"/>
    <sheet name="metrics" sheetId="3" r:id="rId3"/>
    <sheet name="jobs" sheetId="4" r:id="rId4"/>
  </sheets>
  <definedNames>
    <definedName name="_xlnm._FilterDatabase" localSheetId="0" hidden="1">garmin_activities!$A$1:$AP$100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C14" i="3"/>
  <c r="G2" i="4"/>
  <c r="F2" i="4"/>
  <c r="D64" i="4"/>
  <c r="D63" i="4"/>
  <c r="D62" i="4"/>
  <c r="D61" i="4"/>
  <c r="D60" i="4"/>
  <c r="D14" i="4"/>
  <c r="E2" i="4"/>
  <c r="I21" i="3"/>
  <c r="H21" i="3"/>
  <c r="B1" i="3"/>
</calcChain>
</file>

<file path=xl/sharedStrings.xml><?xml version="1.0" encoding="utf-8"?>
<sst xmlns="http://schemas.openxmlformats.org/spreadsheetml/2006/main" count="1919" uniqueCount="257">
  <si>
    <t>Activity Type</t>
  </si>
  <si>
    <t>Date</t>
  </si>
  <si>
    <t>Title</t>
  </si>
  <si>
    <t>Distance</t>
  </si>
  <si>
    <t>Calories</t>
  </si>
  <si>
    <t>Time</t>
  </si>
  <si>
    <t>Avg HR</t>
  </si>
  <si>
    <t>Max HR</t>
  </si>
  <si>
    <t>Aerobic TE</t>
  </si>
  <si>
    <t>Avg Run Cadence</t>
  </si>
  <si>
    <t>Max Run Cadence</t>
  </si>
  <si>
    <t>Avg Pace</t>
  </si>
  <si>
    <t>Best Pace</t>
  </si>
  <si>
    <t>Total Ascent</t>
  </si>
  <si>
    <t>Total Descent</t>
  </si>
  <si>
    <t>Avg Stride Length</t>
  </si>
  <si>
    <t>Avg Vertical Ratio</t>
  </si>
  <si>
    <t>Avg Vertical Oscillation</t>
  </si>
  <si>
    <t>Avg Ground Contact Time</t>
  </si>
  <si>
    <t>Avg GAP</t>
  </si>
  <si>
    <t>Normalized PowerÂ® (NPÂ®)</t>
  </si>
  <si>
    <t>Training Stress ScoreÂ®</t>
  </si>
  <si>
    <t>Avg Power</t>
  </si>
  <si>
    <t>Max Power</t>
  </si>
  <si>
    <t>Total Strokes</t>
  </si>
  <si>
    <t>Avg. Swolf</t>
  </si>
  <si>
    <t>Avg Stroke Rate</t>
  </si>
  <si>
    <t>Steps</t>
  </si>
  <si>
    <t>Total Reps</t>
  </si>
  <si>
    <t>Total Sets</t>
  </si>
  <si>
    <t>Body Battery Drain</t>
  </si>
  <si>
    <t>Min Temp</t>
  </si>
  <si>
    <t>Decompression</t>
  </si>
  <si>
    <t>Best Lap Time</t>
  </si>
  <si>
    <t>Number of Laps</t>
  </si>
  <si>
    <t>Max Temp</t>
  </si>
  <si>
    <t>Moving Time</t>
  </si>
  <si>
    <t>Elapsed Time</t>
  </si>
  <si>
    <t>Min Elevation</t>
  </si>
  <si>
    <t>Max Elevation</t>
  </si>
  <si>
    <t>Running</t>
  </si>
  <si>
    <t>--</t>
  </si>
  <si>
    <t>No</t>
  </si>
  <si>
    <t>Christchurch - Base</t>
  </si>
  <si>
    <t>Waipara Walking</t>
  </si>
  <si>
    <t>Hanmer Springs Walking</t>
  </si>
  <si>
    <t>Cromwell - Base</t>
  </si>
  <si>
    <t>Ashburton Running</t>
  </si>
  <si>
    <t>Ashburton Lakes Walking</t>
  </si>
  <si>
    <t>Windwhistle Walking</t>
  </si>
  <si>
    <t>Ashburton - Base</t>
  </si>
  <si>
    <t>Kaikoura Walking</t>
  </si>
  <si>
    <t>Nelson Walking</t>
  </si>
  <si>
    <t>Makarora Walking</t>
  </si>
  <si>
    <t>Mount Cook Walking</t>
  </si>
  <si>
    <t>Tekapo Walking</t>
  </si>
  <si>
    <t>Christchurch Walking</t>
  </si>
  <si>
    <t>Methven Walking</t>
  </si>
  <si>
    <t>Craigieburn Running</t>
  </si>
  <si>
    <t>Arthur's Pass Walking</t>
  </si>
  <si>
    <t>Kokatahi Walking</t>
  </si>
  <si>
    <t>Fox Glacier Walking</t>
  </si>
  <si>
    <t>Wanaka Walking</t>
  </si>
  <si>
    <t>Hawea Walking</t>
  </si>
  <si>
    <t>Queenstown Walking</t>
  </si>
  <si>
    <t>Queenstown - Base</t>
  </si>
  <si>
    <t>Cattle Flat Walking</t>
  </si>
  <si>
    <t>Glenorchy Walking</t>
  </si>
  <si>
    <t>Moke Lake Track</t>
  </si>
  <si>
    <t>Te Anau Walking</t>
  </si>
  <si>
    <t>Milford Sound Walking</t>
  </si>
  <si>
    <t>Sunshine Bay Walking</t>
  </si>
  <si>
    <t>Kingston Walking</t>
  </si>
  <si>
    <t>Earnslaw Burn Track</t>
  </si>
  <si>
    <t>Queenstown Running</t>
  </si>
  <si>
    <t>Strength</t>
  </si>
  <si>
    <t>Snout Track Loop</t>
  </si>
  <si>
    <t>Wellington Walking</t>
  </si>
  <si>
    <t xml:space="preserve">Pukerua Bay to Paikakariki </t>
  </si>
  <si>
    <t>Tongariro Alpine Crossing</t>
  </si>
  <si>
    <t>Mount Tauhara Hike</t>
  </si>
  <si>
    <t>Rangatira Point Track</t>
  </si>
  <si>
    <t>Huka Falls Downstream Walk</t>
  </si>
  <si>
    <t xml:space="preserve">Rainbow Mountain Scenic Reserve </t>
  </si>
  <si>
    <t>Rotorua Running</t>
  </si>
  <si>
    <t>Te Puke Running</t>
  </si>
  <si>
    <t>Redwoods - Pohaturoa Track</t>
  </si>
  <si>
    <t>Te Puke - Base</t>
  </si>
  <si>
    <t>Blue Springs</t>
  </si>
  <si>
    <t>Papamoa Hills Hike</t>
  </si>
  <si>
    <t>Tect Park Hike</t>
  </si>
  <si>
    <t>Otanewainuku Scenic Reserve - HORLAN</t>
  </si>
  <si>
    <t>Raparapahoe Falls</t>
  </si>
  <si>
    <t>Tauranga Running</t>
  </si>
  <si>
    <t>Mclaren Falls Park</t>
  </si>
  <si>
    <t>Kaiate Falls</t>
  </si>
  <si>
    <t>Te Puke Walking</t>
  </si>
  <si>
    <t>Tauranga Walking</t>
  </si>
  <si>
    <t>Te Puna Walking</t>
  </si>
  <si>
    <t>Te Aroha Walking</t>
  </si>
  <si>
    <t>Ngaruawahia Walking</t>
  </si>
  <si>
    <t>Whangarei Walking</t>
  </si>
  <si>
    <t>Auckland Walking</t>
  </si>
  <si>
    <t>Auckland Running</t>
  </si>
  <si>
    <t>Hiking</t>
  </si>
  <si>
    <t>Island</t>
  </si>
  <si>
    <t>North Island</t>
  </si>
  <si>
    <t>South Island</t>
  </si>
  <si>
    <t>Feb 5-11</t>
  </si>
  <si>
    <t>Jan 29 - Feb 4</t>
  </si>
  <si>
    <t>Jan 22-28</t>
  </si>
  <si>
    <t>Jan 15-21</t>
  </si>
  <si>
    <t>Jan 8-14</t>
  </si>
  <si>
    <t>Jan 1-7</t>
  </si>
  <si>
    <t>Dec 25-31, 2025</t>
  </si>
  <si>
    <t>Dec 18-24, 2025</t>
  </si>
  <si>
    <t>Dec 11-17, 2025</t>
  </si>
  <si>
    <t>Dec 4-10, 2025</t>
  </si>
  <si>
    <t>Nov 27 - Dec 3, 2025</t>
  </si>
  <si>
    <t>Nov 20-26, 2025</t>
  </si>
  <si>
    <t>Nov 13-19, 2025</t>
  </si>
  <si>
    <t>Nov 6-12, 2025</t>
  </si>
  <si>
    <t>Oct 30 - Nov 5, 2025</t>
  </si>
  <si>
    <t>Oct 23-29, 2025</t>
  </si>
  <si>
    <t>Oct 16-22, 2025</t>
  </si>
  <si>
    <t>Oct 9-15, 2025</t>
  </si>
  <si>
    <t>Oct 2-8, 2025</t>
  </si>
  <si>
    <t>Sep 25 - Oct 1, 2025</t>
  </si>
  <si>
    <t>Sep 18-24, 2025</t>
  </si>
  <si>
    <t>Sep 11-17, 2025</t>
  </si>
  <si>
    <t>Sep 4-10, 2025</t>
  </si>
  <si>
    <t>Aug 28 - Sep 3, 2025</t>
  </si>
  <si>
    <t>Aug 21-27, 2025</t>
  </si>
  <si>
    <t>Aug 14-20, 2025</t>
  </si>
  <si>
    <t>Aug 7-13, 2025</t>
  </si>
  <si>
    <t>Jul 31 - Aug 6, 2025</t>
  </si>
  <si>
    <t>Jul 24-30, 2025</t>
  </si>
  <si>
    <t>Jul 17-23, 2025</t>
  </si>
  <si>
    <t>Jul 10-16, 2025</t>
  </si>
  <si>
    <t>Jul 3-9, 2025</t>
  </si>
  <si>
    <t>Jun 26 - Jul 2, 2025</t>
  </si>
  <si>
    <t>Jun 19-25, 2025</t>
  </si>
  <si>
    <t>Jun 12-18, 2025</t>
  </si>
  <si>
    <t>Jun 5-11, 2025</t>
  </si>
  <si>
    <t>May 29 - Jun 4, 2025</t>
  </si>
  <si>
    <t>May 22-28, 2025</t>
  </si>
  <si>
    <t>May 15-21, 2025</t>
  </si>
  <si>
    <t>May 8-14, 2025</t>
  </si>
  <si>
    <t>May 1-7, 2025</t>
  </si>
  <si>
    <t>Apr 24-30, 2025</t>
  </si>
  <si>
    <t>Apr 17-23, 2025</t>
  </si>
  <si>
    <t>Apr 10-16, 2025</t>
  </si>
  <si>
    <t>Apr 3-9, 2025</t>
  </si>
  <si>
    <t>Mar 27 - Apr 2, 2025</t>
  </si>
  <si>
    <t>Mar 20-26, 2025</t>
  </si>
  <si>
    <t>Mar 13-19, 2025</t>
  </si>
  <si>
    <t>Mar 6-12, 2025</t>
  </si>
  <si>
    <t>Feb 27 - Mar 5, 2025</t>
  </si>
  <si>
    <t>Feb 20-26, 2025</t>
  </si>
  <si>
    <t>Total distance (km)</t>
  </si>
  <si>
    <t>Feb 12-13</t>
  </si>
  <si>
    <t xml:space="preserve">Total days </t>
  </si>
  <si>
    <t>Total steps</t>
  </si>
  <si>
    <t>Total Hiking (km)</t>
  </si>
  <si>
    <t>Total Running (km)</t>
  </si>
  <si>
    <t>Singapore to perth distance - 3900km</t>
  </si>
  <si>
    <t xml:space="preserve">Total Hikes </t>
  </si>
  <si>
    <t>Total Hikes (North Island)</t>
  </si>
  <si>
    <t>Total Hikes (Southth Island)</t>
  </si>
  <si>
    <t>Total days SB</t>
  </si>
  <si>
    <t>Coronet Peak</t>
  </si>
  <si>
    <t xml:space="preserve">Remarkables </t>
  </si>
  <si>
    <t>Cardrona</t>
  </si>
  <si>
    <t>Total runs</t>
  </si>
  <si>
    <t xml:space="preserve">Total Vertical Metres </t>
  </si>
  <si>
    <t>Days</t>
  </si>
  <si>
    <t>Company</t>
  </si>
  <si>
    <t>Work</t>
  </si>
  <si>
    <t>Hours</t>
  </si>
  <si>
    <t>Pieters</t>
  </si>
  <si>
    <t>Kiwifruit Picking</t>
  </si>
  <si>
    <t>Eastpack</t>
  </si>
  <si>
    <t>Kiwifruit Packing</t>
  </si>
  <si>
    <t>LeaderBrand</t>
  </si>
  <si>
    <t>Onion Seed Harvesting</t>
  </si>
  <si>
    <t>Centralpac</t>
  </si>
  <si>
    <t>Cherry Picking</t>
  </si>
  <si>
    <t>Tradestaff</t>
  </si>
  <si>
    <t>Construction</t>
  </si>
  <si>
    <t>Housekeeping</t>
  </si>
  <si>
    <t>Roki Collection</t>
  </si>
  <si>
    <t>rolling.count.hours</t>
  </si>
  <si>
    <t>rolling.count.days</t>
  </si>
  <si>
    <t>Walter's Tavern</t>
  </si>
  <si>
    <t xml:space="preserve">F&amp;B Attendant </t>
  </si>
  <si>
    <t>rolling.count.days.unique</t>
  </si>
  <si>
    <t>One Tree Hill</t>
  </si>
  <si>
    <t>Auckland</t>
  </si>
  <si>
    <t>Waiheke Island</t>
  </si>
  <si>
    <t>Trail</t>
  </si>
  <si>
    <t>Mount Manaia Track</t>
  </si>
  <si>
    <t>Whangarei Falls Track</t>
  </si>
  <si>
    <t>Hakarimata Summit Track</t>
  </si>
  <si>
    <t>Wairere Falls Trail</t>
  </si>
  <si>
    <t>Marine Parade</t>
  </si>
  <si>
    <t>Te Puna Quarry Park</t>
  </si>
  <si>
    <t>Mount Maunganui Summit</t>
  </si>
  <si>
    <t>Papamoa Hills</t>
  </si>
  <si>
    <t>Papamoa HIlls</t>
  </si>
  <si>
    <t>Papamoa Beach</t>
  </si>
  <si>
    <t xml:space="preserve">Otanewainuku Scenic Reserve </t>
  </si>
  <si>
    <t>Te Puke</t>
  </si>
  <si>
    <t>Mcloughlin Park</t>
  </si>
  <si>
    <t>Tect Park</t>
  </si>
  <si>
    <t>Putaruru Blue Spring</t>
  </si>
  <si>
    <t>Government Gardens</t>
  </si>
  <si>
    <t>Huka Falls Downstream Track</t>
  </si>
  <si>
    <t>Mount Tauhara</t>
  </si>
  <si>
    <t>Paekakariki Escarpment Track</t>
  </si>
  <si>
    <t>Mount Kaukau</t>
  </si>
  <si>
    <t>Red Walks Coastal Walk</t>
  </si>
  <si>
    <t>Queenstown Gardens Loop</t>
  </si>
  <si>
    <t>Queenstown Hill Walkway</t>
  </si>
  <si>
    <t>Fernhill</t>
  </si>
  <si>
    <t>Lake Hayes Walkway</t>
  </si>
  <si>
    <t>Wye Creek Track To Helicopter Landing</t>
  </si>
  <si>
    <t>Bob's Cove Track</t>
  </si>
  <si>
    <t>Key Summit Track</t>
  </si>
  <si>
    <t>Lake Marian Track</t>
  </si>
  <si>
    <t>Kepler Track Carpark to Luxmore Hut</t>
  </si>
  <si>
    <t xml:space="preserve">Routeburn Track to Harris Saddle </t>
  </si>
  <si>
    <t>Rob Roy Glacier Track</t>
  </si>
  <si>
    <t>Ben Lomond Track via Tiki Trail</t>
  </si>
  <si>
    <t>Sawyer Burn Track</t>
  </si>
  <si>
    <t>Roy's Peak</t>
  </si>
  <si>
    <t>Lake Matheson Jetty Lookout Walk</t>
  </si>
  <si>
    <t xml:space="preserve">Hokitika Gorge </t>
  </si>
  <si>
    <t>Devils Punchbowl Walking Track</t>
  </si>
  <si>
    <t>Castle Hill</t>
  </si>
  <si>
    <t>Washpen Falls Track</t>
  </si>
  <si>
    <t>Rakaia Gorge Walkway</t>
  </si>
  <si>
    <t>Methven Loop track</t>
  </si>
  <si>
    <t>Barnett Park Cave Loop</t>
  </si>
  <si>
    <t>Godley Head Walkway and Taylors Mistake Loop</t>
  </si>
  <si>
    <t>Mount John Walkway</t>
  </si>
  <si>
    <t>Hooker Valley Track</t>
  </si>
  <si>
    <t>Tasman Glacier View Track</t>
  </si>
  <si>
    <t>Blue Pools Track</t>
  </si>
  <si>
    <t>Botanical Hill Loop</t>
  </si>
  <si>
    <t>Kaikoura Lookout</t>
  </si>
  <si>
    <t>Ashburton</t>
  </si>
  <si>
    <t>Ashburton Domain</t>
  </si>
  <si>
    <t>Mount Sunday</t>
  </si>
  <si>
    <t>Cromwell</t>
  </si>
  <si>
    <t>Conical Hill Loop Track</t>
  </si>
  <si>
    <t>Tiromoana Bush Walk</t>
  </si>
  <si>
    <t>Halswell Quarry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</si>
</sst>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21" fontId="0" fillId="0" borderId="0" xfId="0" applyNumberFormat="1"/>
    <xf numFmtId="20" fontId="0" fillId="0" borderId="0" xfId="0" applyNumberFormat="1"/>
    <xf numFmtId="3" fontId="0" fillId="0" borderId="0" xfId="0" applyNumberFormat="1"/>
    <xf numFmtId="47" fontId="0" fillId="0" borderId="0" xfId="0" applyNumberFormat="1"/>
    <xf numFmtId="46" fontId="0" fillId="0" borderId="0" xfId="0" applyNumberFormat="1"/>
    <xf numFmtId="16" fontId="0" fillId="0" borderId="0" xfId="0" applyNumberFormat="1"/>
    <xf numFmtId="4" fontId="0" fillId="0" borderId="0" xfId="0" applyNumberFormat="1"/>
    <xf numFmtId="4" fontId="0" fillId="33" borderId="0" xfId="0" applyNumberFormat="1" applyFill="1"/>
    <xf numFmtId="0" fontId="0" fillId="33" borderId="0" xfId="0" applyFill="1"/>
    <xf numFmtId="0" fontId="16" fillId="0" borderId="0" xfId="0" applyFont="1"/>
    <xf numFmtId="0" fontId="0" fillId="0" borderId="10" xfId="0" applyBorder="1"/>
    <xf numFmtId="0" fontId="16" fillId="0" borderId="10" xfId="0" applyFont="1" applyBorder="1"/>
    <xf numFmtId="43" fontId="0" fillId="0" borderId="10" xfId="1" applyFont="1" applyBorder="1"/>
    <xf numFmtId="1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FCE3-259D-441E-BBB0-7D09D1D66D53}">
  <dimension ref="A1:AP105"/>
  <sheetViews>
    <sheetView workbookViewId="0"/>
  </sheetViews>
  <sheetFormatPr defaultRowHeight="15" x14ac:dyDescent="0.25"/>
  <cols>
    <col min="1" max="1" width="16" bestFit="1" customWidth="1"/>
    <col min="2" max="2" width="15.5703125" bestFit="1" customWidth="1"/>
    <col min="3" max="3" width="36.85546875" bestFit="1" customWidth="1"/>
    <col min="4" max="5" width="36.85546875" customWidth="1"/>
    <col min="6" max="6" width="8.7109375" bestFit="1" customWidth="1"/>
    <col min="7" max="7" width="8.28515625" bestFit="1" customWidth="1"/>
    <col min="8" max="8" width="8.140625" bestFit="1" customWidth="1"/>
    <col min="9" max="9" width="6.85546875" bestFit="1" customWidth="1"/>
    <col min="10" max="10" width="7.42578125" bestFit="1" customWidth="1"/>
    <col min="11" max="11" width="10.140625" bestFit="1" customWidth="1"/>
    <col min="12" max="12" width="16" bestFit="1" customWidth="1"/>
    <col min="13" max="13" width="16.5703125" bestFit="1" customWidth="1"/>
    <col min="14" max="14" width="8.7109375" bestFit="1" customWidth="1"/>
    <col min="15" max="15" width="9.42578125" bestFit="1" customWidth="1"/>
    <col min="16" max="16" width="11.7109375" bestFit="1" customWidth="1"/>
    <col min="17" max="17" width="12.85546875" bestFit="1" customWidth="1"/>
    <col min="18" max="18" width="15.7109375" bestFit="1" customWidth="1"/>
    <col min="19" max="19" width="16.28515625" bestFit="1" customWidth="1"/>
    <col min="20" max="20" width="21.7109375" bestFit="1" customWidth="1"/>
    <col min="21" max="21" width="23.28515625" bestFit="1" customWidth="1"/>
    <col min="22" max="22" width="8" bestFit="1" customWidth="1"/>
    <col min="23" max="23" width="26.140625" bestFit="1" customWidth="1"/>
    <col min="24" max="24" width="21.7109375" bestFit="1" customWidth="1"/>
    <col min="25" max="25" width="9.85546875" bestFit="1" customWidth="1"/>
    <col min="26" max="26" width="10.42578125" bestFit="1" customWidth="1"/>
    <col min="27" max="27" width="12.28515625" bestFit="1" customWidth="1"/>
    <col min="28" max="28" width="9.7109375" bestFit="1" customWidth="1"/>
    <col min="29" max="29" width="14.28515625" bestFit="1" customWidth="1"/>
    <col min="30" max="30" width="6.5703125" bestFit="1" customWidth="1"/>
    <col min="31" max="31" width="10.140625" bestFit="1" customWidth="1"/>
    <col min="32" max="32" width="9.42578125" bestFit="1" customWidth="1"/>
    <col min="33" max="33" width="17.28515625" bestFit="1" customWidth="1"/>
    <col min="34" max="34" width="9.5703125" bestFit="1" customWidth="1"/>
    <col min="35" max="35" width="15" bestFit="1" customWidth="1"/>
    <col min="36" max="36" width="13.140625" bestFit="1" customWidth="1"/>
    <col min="37" max="37" width="15" bestFit="1" customWidth="1"/>
    <col min="38" max="38" width="9.85546875" bestFit="1" customWidth="1"/>
    <col min="39" max="39" width="12" bestFit="1" customWidth="1"/>
    <col min="40" max="41" width="12.7109375" bestFit="1" customWidth="1"/>
    <col min="42" max="42" width="13.140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199</v>
      </c>
      <c r="E1" t="s">
        <v>105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25">
      <c r="A2" t="s">
        <v>40</v>
      </c>
      <c r="B2" s="1">
        <v>46058.406400462962</v>
      </c>
      <c r="C2" t="s">
        <v>43</v>
      </c>
      <c r="D2" t="s">
        <v>256</v>
      </c>
      <c r="E2" t="s">
        <v>107</v>
      </c>
      <c r="F2">
        <v>6.18</v>
      </c>
      <c r="G2">
        <v>463</v>
      </c>
      <c r="H2" s="2">
        <v>3.6874999999999998E-2</v>
      </c>
      <c r="I2">
        <v>157</v>
      </c>
      <c r="J2">
        <v>187</v>
      </c>
      <c r="K2">
        <v>5</v>
      </c>
      <c r="L2">
        <v>134</v>
      </c>
      <c r="M2">
        <v>250</v>
      </c>
      <c r="N2" s="3">
        <v>0.35833333333333334</v>
      </c>
      <c r="O2" s="3">
        <v>0.22569444444444445</v>
      </c>
      <c r="P2">
        <v>48</v>
      </c>
      <c r="Q2">
        <v>48</v>
      </c>
      <c r="R2">
        <v>0.92</v>
      </c>
      <c r="S2">
        <v>9.9</v>
      </c>
      <c r="T2">
        <v>8.8000000000000007</v>
      </c>
      <c r="U2">
        <v>294</v>
      </c>
      <c r="V2" s="3">
        <v>0.34861111111111109</v>
      </c>
      <c r="W2">
        <v>240</v>
      </c>
      <c r="X2">
        <v>0</v>
      </c>
      <c r="Y2">
        <v>200</v>
      </c>
      <c r="Z2">
        <v>356</v>
      </c>
      <c r="AA2" t="s">
        <v>41</v>
      </c>
      <c r="AB2" t="s">
        <v>41</v>
      </c>
      <c r="AC2" t="s">
        <v>41</v>
      </c>
      <c r="AD2" s="4">
        <v>7220</v>
      </c>
      <c r="AE2" t="s">
        <v>41</v>
      </c>
      <c r="AF2" t="s">
        <v>41</v>
      </c>
      <c r="AG2">
        <v>-23</v>
      </c>
      <c r="AH2">
        <v>24</v>
      </c>
      <c r="AI2" t="s">
        <v>42</v>
      </c>
      <c r="AJ2" s="5">
        <v>9.9768518518518522E-4</v>
      </c>
      <c r="AK2">
        <v>7</v>
      </c>
      <c r="AL2">
        <v>28</v>
      </c>
      <c r="AM2" s="2">
        <v>3.1238425925925926E-2</v>
      </c>
      <c r="AN2" s="2">
        <v>3.6874999999999998E-2</v>
      </c>
      <c r="AO2">
        <v>14</v>
      </c>
      <c r="AP2">
        <v>41</v>
      </c>
    </row>
    <row r="3" spans="1:42" x14ac:dyDescent="0.25">
      <c r="A3" t="s">
        <v>104</v>
      </c>
      <c r="B3" s="1">
        <v>46057.626458333332</v>
      </c>
      <c r="C3" t="s">
        <v>44</v>
      </c>
      <c r="D3" t="s">
        <v>255</v>
      </c>
      <c r="E3" t="s">
        <v>107</v>
      </c>
      <c r="F3">
        <v>12.72</v>
      </c>
      <c r="G3" s="4">
        <v>1056</v>
      </c>
      <c r="H3" s="2">
        <v>0.16717592592592592</v>
      </c>
      <c r="I3">
        <v>114</v>
      </c>
      <c r="J3">
        <v>177</v>
      </c>
      <c r="K3">
        <v>3.3</v>
      </c>
      <c r="L3">
        <v>72</v>
      </c>
      <c r="M3">
        <v>236</v>
      </c>
      <c r="N3" s="3">
        <v>0.78888888888888886</v>
      </c>
      <c r="O3" s="3">
        <v>0.29444444444444445</v>
      </c>
      <c r="P3">
        <v>689</v>
      </c>
      <c r="Q3">
        <v>691</v>
      </c>
      <c r="R3">
        <v>0.73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>
        <v>0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s="4">
        <v>18256</v>
      </c>
      <c r="AE3" t="s">
        <v>41</v>
      </c>
      <c r="AF3" t="s">
        <v>41</v>
      </c>
      <c r="AG3">
        <v>-28</v>
      </c>
      <c r="AH3">
        <v>20</v>
      </c>
      <c r="AI3" t="s">
        <v>42</v>
      </c>
      <c r="AJ3" s="2">
        <v>7.4537037037037037E-3</v>
      </c>
      <c r="AK3">
        <v>13</v>
      </c>
      <c r="AL3">
        <v>31</v>
      </c>
      <c r="AM3" s="2">
        <v>0.12398148148148148</v>
      </c>
      <c r="AN3" s="2">
        <v>0.16718749999999999</v>
      </c>
      <c r="AO3">
        <v>3</v>
      </c>
      <c r="AP3">
        <v>359</v>
      </c>
    </row>
    <row r="4" spans="1:42" x14ac:dyDescent="0.25">
      <c r="A4" t="s">
        <v>104</v>
      </c>
      <c r="B4" s="1">
        <v>46052.777511574073</v>
      </c>
      <c r="C4" t="s">
        <v>45</v>
      </c>
      <c r="D4" t="s">
        <v>254</v>
      </c>
      <c r="E4" t="s">
        <v>107</v>
      </c>
      <c r="F4">
        <v>2.91</v>
      </c>
      <c r="G4">
        <v>263</v>
      </c>
      <c r="H4" s="2">
        <v>4.6469907407407404E-2</v>
      </c>
      <c r="I4">
        <v>100</v>
      </c>
      <c r="J4">
        <v>136</v>
      </c>
      <c r="K4">
        <v>2.4</v>
      </c>
      <c r="L4">
        <v>53</v>
      </c>
      <c r="M4">
        <v>231</v>
      </c>
      <c r="N4" s="3">
        <v>0.95625000000000004</v>
      </c>
      <c r="O4" s="3">
        <v>0.21180555555555555</v>
      </c>
      <c r="P4">
        <v>157</v>
      </c>
      <c r="Q4">
        <v>158</v>
      </c>
      <c r="R4">
        <v>0.91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>
        <v>0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s="4">
        <v>3940</v>
      </c>
      <c r="AE4" t="s">
        <v>41</v>
      </c>
      <c r="AF4" t="s">
        <v>41</v>
      </c>
      <c r="AG4">
        <v>-4</v>
      </c>
      <c r="AH4">
        <v>25</v>
      </c>
      <c r="AI4" t="s">
        <v>42</v>
      </c>
      <c r="AJ4" s="2">
        <v>9.7222222222222224E-3</v>
      </c>
      <c r="AK4">
        <v>3</v>
      </c>
      <c r="AL4">
        <v>35</v>
      </c>
      <c r="AM4" s="2">
        <v>2.5949074074074076E-2</v>
      </c>
      <c r="AN4" s="2">
        <v>4.6469907407407404E-2</v>
      </c>
      <c r="AO4">
        <v>422</v>
      </c>
      <c r="AP4">
        <v>561</v>
      </c>
    </row>
    <row r="5" spans="1:42" x14ac:dyDescent="0.25">
      <c r="A5" t="s">
        <v>40</v>
      </c>
      <c r="B5" s="1">
        <v>46050.637337962966</v>
      </c>
      <c r="C5" t="s">
        <v>46</v>
      </c>
      <c r="D5" t="s">
        <v>253</v>
      </c>
      <c r="E5" t="s">
        <v>107</v>
      </c>
      <c r="F5">
        <v>6.28</v>
      </c>
      <c r="G5">
        <v>419</v>
      </c>
      <c r="H5" s="2">
        <v>3.1793981481481479E-2</v>
      </c>
      <c r="I5">
        <v>162</v>
      </c>
      <c r="J5">
        <v>186</v>
      </c>
      <c r="K5">
        <v>5</v>
      </c>
      <c r="L5">
        <v>158</v>
      </c>
      <c r="M5">
        <v>173</v>
      </c>
      <c r="N5" s="3">
        <v>0.3034722222222222</v>
      </c>
      <c r="O5" s="3">
        <v>0.19930555555555557</v>
      </c>
      <c r="P5">
        <v>54</v>
      </c>
      <c r="Q5">
        <v>51</v>
      </c>
      <c r="R5">
        <v>0.88</v>
      </c>
      <c r="S5">
        <v>10</v>
      </c>
      <c r="T5">
        <v>8.6999999999999993</v>
      </c>
      <c r="U5">
        <v>292</v>
      </c>
      <c r="V5" s="3">
        <v>0.30208333333333331</v>
      </c>
      <c r="W5">
        <v>235</v>
      </c>
      <c r="X5">
        <v>0</v>
      </c>
      <c r="Y5">
        <v>229</v>
      </c>
      <c r="Z5">
        <v>357</v>
      </c>
      <c r="AA5" t="s">
        <v>41</v>
      </c>
      <c r="AB5" t="s">
        <v>41</v>
      </c>
      <c r="AC5" t="s">
        <v>41</v>
      </c>
      <c r="AD5" s="4">
        <v>7226</v>
      </c>
      <c r="AE5" t="s">
        <v>41</v>
      </c>
      <c r="AF5" t="s">
        <v>41</v>
      </c>
      <c r="AG5">
        <v>-9</v>
      </c>
      <c r="AH5">
        <v>28</v>
      </c>
      <c r="AI5" t="s">
        <v>42</v>
      </c>
      <c r="AJ5" s="5">
        <v>3.1597222222222221E-4</v>
      </c>
      <c r="AK5">
        <v>8</v>
      </c>
      <c r="AL5">
        <v>32</v>
      </c>
      <c r="AM5" s="2">
        <v>3.1770833333333331E-2</v>
      </c>
      <c r="AN5" s="2">
        <v>3.1793981481481479E-2</v>
      </c>
      <c r="AO5">
        <v>198</v>
      </c>
      <c r="AP5">
        <v>213</v>
      </c>
    </row>
    <row r="6" spans="1:42" x14ac:dyDescent="0.25">
      <c r="A6" t="s">
        <v>40</v>
      </c>
      <c r="B6" s="1">
        <v>46041.717442129629</v>
      </c>
      <c r="C6" t="s">
        <v>46</v>
      </c>
      <c r="D6" t="s">
        <v>253</v>
      </c>
      <c r="E6" t="s">
        <v>107</v>
      </c>
      <c r="F6">
        <v>5.08</v>
      </c>
      <c r="G6">
        <v>353</v>
      </c>
      <c r="H6" s="2">
        <v>2.5335648148148149E-2</v>
      </c>
      <c r="I6">
        <v>176</v>
      </c>
      <c r="J6">
        <v>195</v>
      </c>
      <c r="K6">
        <v>5</v>
      </c>
      <c r="L6">
        <v>155</v>
      </c>
      <c r="M6">
        <v>166</v>
      </c>
      <c r="N6" s="3">
        <v>0.29930555555555555</v>
      </c>
      <c r="O6" s="3">
        <v>0.23958333333333334</v>
      </c>
      <c r="P6">
        <v>67</v>
      </c>
      <c r="Q6">
        <v>44</v>
      </c>
      <c r="R6">
        <v>0.9</v>
      </c>
      <c r="S6">
        <v>10</v>
      </c>
      <c r="T6">
        <v>9</v>
      </c>
      <c r="U6">
        <v>298</v>
      </c>
      <c r="V6" s="3">
        <v>0.29166666666666669</v>
      </c>
      <c r="W6">
        <v>250</v>
      </c>
      <c r="X6">
        <v>0</v>
      </c>
      <c r="Y6">
        <v>242</v>
      </c>
      <c r="Z6">
        <v>374</v>
      </c>
      <c r="AA6" t="s">
        <v>41</v>
      </c>
      <c r="AB6" t="s">
        <v>41</v>
      </c>
      <c r="AC6" t="s">
        <v>41</v>
      </c>
      <c r="AD6" s="4">
        <v>5652</v>
      </c>
      <c r="AE6" t="s">
        <v>41</v>
      </c>
      <c r="AF6" t="s">
        <v>41</v>
      </c>
      <c r="AG6" t="s">
        <v>41</v>
      </c>
      <c r="AH6">
        <v>30</v>
      </c>
      <c r="AI6" t="s">
        <v>42</v>
      </c>
      <c r="AJ6" s="5">
        <v>1.2025462962962964E-3</v>
      </c>
      <c r="AK6">
        <v>6</v>
      </c>
      <c r="AL6">
        <v>38</v>
      </c>
      <c r="AM6" s="2">
        <v>2.5300925925925925E-2</v>
      </c>
      <c r="AN6" s="2">
        <v>2.5335648148148149E-2</v>
      </c>
      <c r="AO6">
        <v>192</v>
      </c>
      <c r="AP6">
        <v>215</v>
      </c>
    </row>
    <row r="7" spans="1:42" x14ac:dyDescent="0.25">
      <c r="A7" t="s">
        <v>40</v>
      </c>
      <c r="B7" s="1">
        <v>46019.746053240742</v>
      </c>
      <c r="C7" t="s">
        <v>47</v>
      </c>
      <c r="D7" t="s">
        <v>250</v>
      </c>
      <c r="E7" t="s">
        <v>107</v>
      </c>
      <c r="F7">
        <v>5.3</v>
      </c>
      <c r="G7">
        <v>342</v>
      </c>
      <c r="H7" s="2">
        <v>2.5925925925925925E-2</v>
      </c>
      <c r="I7">
        <v>166</v>
      </c>
      <c r="J7">
        <v>180</v>
      </c>
      <c r="K7">
        <v>5</v>
      </c>
      <c r="L7">
        <v>159</v>
      </c>
      <c r="M7">
        <v>165</v>
      </c>
      <c r="N7" s="3">
        <v>0.29375000000000001</v>
      </c>
      <c r="O7" s="3">
        <v>0.2326388888888889</v>
      </c>
      <c r="P7">
        <v>20</v>
      </c>
      <c r="Q7">
        <v>16</v>
      </c>
      <c r="R7">
        <v>0.89</v>
      </c>
      <c r="S7">
        <v>9.9</v>
      </c>
      <c r="T7">
        <v>8.9</v>
      </c>
      <c r="U7">
        <v>292</v>
      </c>
      <c r="V7" s="3">
        <v>0.29305555555555557</v>
      </c>
      <c r="W7">
        <v>236</v>
      </c>
      <c r="X7">
        <v>0</v>
      </c>
      <c r="Y7">
        <v>235</v>
      </c>
      <c r="Z7">
        <v>302</v>
      </c>
      <c r="AA7" t="s">
        <v>41</v>
      </c>
      <c r="AB7" t="s">
        <v>41</v>
      </c>
      <c r="AC7" t="s">
        <v>41</v>
      </c>
      <c r="AD7" s="4">
        <v>5916</v>
      </c>
      <c r="AE7" t="s">
        <v>41</v>
      </c>
      <c r="AF7" t="s">
        <v>41</v>
      </c>
      <c r="AG7">
        <v>-12</v>
      </c>
      <c r="AH7">
        <v>23</v>
      </c>
      <c r="AI7" t="s">
        <v>42</v>
      </c>
      <c r="AJ7" s="5">
        <v>1.4606481481481482E-3</v>
      </c>
      <c r="AK7">
        <v>6</v>
      </c>
      <c r="AL7">
        <v>29</v>
      </c>
      <c r="AM7" s="2">
        <v>2.5914351851851852E-2</v>
      </c>
      <c r="AN7" s="2">
        <v>2.5925925925925925E-2</v>
      </c>
      <c r="AO7">
        <v>89</v>
      </c>
      <c r="AP7">
        <v>103</v>
      </c>
    </row>
    <row r="8" spans="1:42" x14ac:dyDescent="0.25">
      <c r="A8" t="s">
        <v>104</v>
      </c>
      <c r="B8" s="1">
        <v>46019.515497685185</v>
      </c>
      <c r="C8" t="s">
        <v>48</v>
      </c>
      <c r="D8" t="s">
        <v>252</v>
      </c>
      <c r="E8" t="s">
        <v>107</v>
      </c>
      <c r="F8">
        <v>2.0099999999999998</v>
      </c>
      <c r="G8">
        <v>198</v>
      </c>
      <c r="H8" s="2">
        <v>4.597222222222222E-2</v>
      </c>
      <c r="I8">
        <v>87</v>
      </c>
      <c r="J8">
        <v>161</v>
      </c>
      <c r="K8">
        <v>2.2000000000000002</v>
      </c>
      <c r="L8">
        <v>37</v>
      </c>
      <c r="M8">
        <v>160</v>
      </c>
      <c r="N8" s="6">
        <v>1.3694444444444445</v>
      </c>
      <c r="O8" s="3">
        <v>0.25763888888888886</v>
      </c>
      <c r="P8">
        <v>98</v>
      </c>
      <c r="Q8">
        <v>6</v>
      </c>
      <c r="R8">
        <v>0.84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>
        <v>0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s="4">
        <v>2820</v>
      </c>
      <c r="AE8" t="s">
        <v>41</v>
      </c>
      <c r="AF8" t="s">
        <v>41</v>
      </c>
      <c r="AG8">
        <v>-8</v>
      </c>
      <c r="AH8">
        <v>21</v>
      </c>
      <c r="AI8" t="s">
        <v>42</v>
      </c>
      <c r="AJ8" s="5">
        <v>1.2731481481481482E-5</v>
      </c>
      <c r="AK8">
        <v>4</v>
      </c>
      <c r="AL8">
        <v>27</v>
      </c>
      <c r="AM8" s="2">
        <v>2.0532407407407409E-2</v>
      </c>
      <c r="AN8" s="2">
        <v>8.4456018518518514E-2</v>
      </c>
      <c r="AO8">
        <v>515</v>
      </c>
      <c r="AP8">
        <v>615</v>
      </c>
    </row>
    <row r="9" spans="1:42" x14ac:dyDescent="0.25">
      <c r="A9" t="s">
        <v>104</v>
      </c>
      <c r="B9" s="1">
        <v>46016.65148148148</v>
      </c>
      <c r="C9" t="s">
        <v>49</v>
      </c>
      <c r="D9" t="s">
        <v>240</v>
      </c>
      <c r="E9" t="s">
        <v>107</v>
      </c>
      <c r="F9">
        <v>3.48</v>
      </c>
      <c r="G9">
        <v>290</v>
      </c>
      <c r="H9" s="2">
        <v>5.7210648148148149E-2</v>
      </c>
      <c r="I9">
        <v>102</v>
      </c>
      <c r="J9">
        <v>147</v>
      </c>
      <c r="K9">
        <v>1.8</v>
      </c>
      <c r="L9">
        <v>55</v>
      </c>
      <c r="M9">
        <v>160</v>
      </c>
      <c r="N9" s="3">
        <v>0.98611111111111116</v>
      </c>
      <c r="O9" s="3">
        <v>0.26319444444444445</v>
      </c>
      <c r="P9">
        <v>196</v>
      </c>
      <c r="Q9">
        <v>201</v>
      </c>
      <c r="R9">
        <v>0.78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>
        <v>0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s="4">
        <v>5630</v>
      </c>
      <c r="AE9" t="s">
        <v>41</v>
      </c>
      <c r="AF9" t="s">
        <v>41</v>
      </c>
      <c r="AG9">
        <v>-5</v>
      </c>
      <c r="AH9">
        <v>19</v>
      </c>
      <c r="AI9" t="s">
        <v>42</v>
      </c>
      <c r="AJ9" s="5">
        <v>5.3599537037037036E-3</v>
      </c>
      <c r="AK9">
        <v>4</v>
      </c>
      <c r="AL9">
        <v>26</v>
      </c>
      <c r="AM9" s="2">
        <v>3.5648148148148151E-2</v>
      </c>
      <c r="AN9" s="2">
        <v>5.7210648148148149E-2</v>
      </c>
      <c r="AO9">
        <v>280</v>
      </c>
      <c r="AP9">
        <v>359</v>
      </c>
    </row>
    <row r="10" spans="1:42" x14ac:dyDescent="0.25">
      <c r="A10" t="s">
        <v>40</v>
      </c>
      <c r="B10" s="1">
        <v>46014.73474537037</v>
      </c>
      <c r="C10" t="s">
        <v>47</v>
      </c>
      <c r="D10" t="s">
        <v>250</v>
      </c>
      <c r="E10" t="s">
        <v>107</v>
      </c>
      <c r="F10">
        <v>4.1900000000000004</v>
      </c>
      <c r="G10">
        <v>267</v>
      </c>
      <c r="H10" s="2">
        <v>2.0636574074074075E-2</v>
      </c>
      <c r="I10">
        <v>162</v>
      </c>
      <c r="J10">
        <v>176</v>
      </c>
      <c r="K10">
        <v>4.7</v>
      </c>
      <c r="L10">
        <v>158</v>
      </c>
      <c r="M10">
        <v>167</v>
      </c>
      <c r="N10" s="3">
        <v>0.2951388888888889</v>
      </c>
      <c r="O10" s="3">
        <v>0.25208333333333333</v>
      </c>
      <c r="P10">
        <v>11</v>
      </c>
      <c r="Q10">
        <v>8</v>
      </c>
      <c r="R10">
        <v>0.9</v>
      </c>
      <c r="S10">
        <v>10</v>
      </c>
      <c r="T10">
        <v>8.9</v>
      </c>
      <c r="U10">
        <v>293</v>
      </c>
      <c r="V10" s="3">
        <v>0.29375000000000001</v>
      </c>
      <c r="W10">
        <v>234</v>
      </c>
      <c r="X10">
        <v>0</v>
      </c>
      <c r="Y10">
        <v>233</v>
      </c>
      <c r="Z10">
        <v>297</v>
      </c>
      <c r="AA10" t="s">
        <v>41</v>
      </c>
      <c r="AB10" t="s">
        <v>41</v>
      </c>
      <c r="AC10" t="s">
        <v>41</v>
      </c>
      <c r="AD10" s="4">
        <v>4678</v>
      </c>
      <c r="AE10" t="s">
        <v>41</v>
      </c>
      <c r="AF10" t="s">
        <v>41</v>
      </c>
      <c r="AG10">
        <v>-8</v>
      </c>
      <c r="AH10">
        <v>25</v>
      </c>
      <c r="AI10" t="s">
        <v>42</v>
      </c>
      <c r="AJ10" s="5">
        <v>9.5601851851851848E-4</v>
      </c>
      <c r="AK10">
        <v>5</v>
      </c>
      <c r="AL10">
        <v>28</v>
      </c>
      <c r="AM10" s="2">
        <v>2.0613425925925927E-2</v>
      </c>
      <c r="AN10" s="2">
        <v>2.0636574074074075E-2</v>
      </c>
      <c r="AO10">
        <v>92</v>
      </c>
      <c r="AP10">
        <v>100</v>
      </c>
    </row>
    <row r="11" spans="1:42" x14ac:dyDescent="0.25">
      <c r="A11" t="s">
        <v>40</v>
      </c>
      <c r="B11" s="1">
        <v>46012.72550925926</v>
      </c>
      <c r="C11" t="s">
        <v>47</v>
      </c>
      <c r="D11" t="s">
        <v>251</v>
      </c>
      <c r="E11" t="s">
        <v>107</v>
      </c>
      <c r="F11">
        <v>5</v>
      </c>
      <c r="G11">
        <v>317</v>
      </c>
      <c r="H11" s="2">
        <v>2.5000000000000001E-2</v>
      </c>
      <c r="I11">
        <v>164</v>
      </c>
      <c r="J11">
        <v>183</v>
      </c>
      <c r="K11">
        <v>5</v>
      </c>
      <c r="L11">
        <v>158</v>
      </c>
      <c r="M11">
        <v>169</v>
      </c>
      <c r="N11" s="3">
        <v>0.3</v>
      </c>
      <c r="O11" s="3">
        <v>0.23055555555555557</v>
      </c>
      <c r="P11">
        <v>15</v>
      </c>
      <c r="Q11">
        <v>13</v>
      </c>
      <c r="R11">
        <v>0.88</v>
      </c>
      <c r="S11">
        <v>10.1</v>
      </c>
      <c r="T11">
        <v>8.8000000000000007</v>
      </c>
      <c r="U11">
        <v>294</v>
      </c>
      <c r="V11" s="3">
        <v>0.29930555555555555</v>
      </c>
      <c r="W11">
        <v>235</v>
      </c>
      <c r="X11">
        <v>0</v>
      </c>
      <c r="Y11">
        <v>232</v>
      </c>
      <c r="Z11">
        <v>336</v>
      </c>
      <c r="AA11" t="s">
        <v>41</v>
      </c>
      <c r="AB11" t="s">
        <v>41</v>
      </c>
      <c r="AC11" t="s">
        <v>41</v>
      </c>
      <c r="AD11" s="4">
        <v>5668</v>
      </c>
      <c r="AE11" t="s">
        <v>41</v>
      </c>
      <c r="AF11" t="s">
        <v>41</v>
      </c>
      <c r="AG11">
        <v>-16</v>
      </c>
      <c r="AH11">
        <v>21</v>
      </c>
      <c r="AI11" t="s">
        <v>42</v>
      </c>
      <c r="AJ11" s="5">
        <v>4.398148148148148E-5</v>
      </c>
      <c r="AK11">
        <v>6</v>
      </c>
      <c r="AL11">
        <v>27</v>
      </c>
      <c r="AM11" s="2">
        <v>2.4907407407407406E-2</v>
      </c>
      <c r="AN11" s="2">
        <v>2.5000000000000001E-2</v>
      </c>
      <c r="AO11">
        <v>103</v>
      </c>
      <c r="AP11">
        <v>112</v>
      </c>
    </row>
    <row r="12" spans="1:42" x14ac:dyDescent="0.25">
      <c r="A12" t="s">
        <v>40</v>
      </c>
      <c r="B12" s="1">
        <v>46011.792800925927</v>
      </c>
      <c r="C12" t="s">
        <v>50</v>
      </c>
      <c r="D12" t="s">
        <v>250</v>
      </c>
      <c r="E12" t="s">
        <v>107</v>
      </c>
      <c r="F12">
        <v>7.53</v>
      </c>
      <c r="G12">
        <v>479</v>
      </c>
      <c r="H12" s="2">
        <v>4.0057870370370369E-2</v>
      </c>
      <c r="I12">
        <v>172</v>
      </c>
      <c r="J12">
        <v>184</v>
      </c>
      <c r="K12">
        <v>5</v>
      </c>
      <c r="L12">
        <v>156</v>
      </c>
      <c r="M12">
        <v>167</v>
      </c>
      <c r="N12" s="3">
        <v>0.31944444444444442</v>
      </c>
      <c r="O12" s="3">
        <v>0.26944444444444443</v>
      </c>
      <c r="P12">
        <v>19</v>
      </c>
      <c r="Q12">
        <v>16</v>
      </c>
      <c r="R12">
        <v>0.83</v>
      </c>
      <c r="S12">
        <v>10.4</v>
      </c>
      <c r="T12">
        <v>8.6</v>
      </c>
      <c r="U12">
        <v>301</v>
      </c>
      <c r="V12" s="3">
        <v>0.31944444444444442</v>
      </c>
      <c r="W12">
        <v>218</v>
      </c>
      <c r="X12">
        <v>0</v>
      </c>
      <c r="Y12">
        <v>216</v>
      </c>
      <c r="Z12">
        <v>307</v>
      </c>
      <c r="AA12" t="s">
        <v>41</v>
      </c>
      <c r="AB12" t="s">
        <v>41</v>
      </c>
      <c r="AC12" t="s">
        <v>41</v>
      </c>
      <c r="AD12" s="4">
        <v>8948</v>
      </c>
      <c r="AE12" t="s">
        <v>41</v>
      </c>
      <c r="AF12" t="s">
        <v>41</v>
      </c>
      <c r="AG12">
        <v>-27</v>
      </c>
      <c r="AH12">
        <v>17</v>
      </c>
      <c r="AI12" t="s">
        <v>42</v>
      </c>
      <c r="AJ12" s="5">
        <v>1.9097222222222223E-4</v>
      </c>
      <c r="AK12">
        <v>9</v>
      </c>
      <c r="AL12">
        <v>26</v>
      </c>
      <c r="AM12" s="2">
        <v>4.0034722222222222E-2</v>
      </c>
      <c r="AN12" s="2">
        <v>4.0057870370370369E-2</v>
      </c>
      <c r="AO12">
        <v>86</v>
      </c>
      <c r="AP12">
        <v>98</v>
      </c>
    </row>
    <row r="13" spans="1:42" x14ac:dyDescent="0.25">
      <c r="A13" t="s">
        <v>104</v>
      </c>
      <c r="B13" s="1">
        <v>46005.429629629631</v>
      </c>
      <c r="C13" t="s">
        <v>51</v>
      </c>
      <c r="D13" t="s">
        <v>249</v>
      </c>
      <c r="E13" t="s">
        <v>107</v>
      </c>
      <c r="F13">
        <v>4.6399999999999997</v>
      </c>
      <c r="G13">
        <v>314</v>
      </c>
      <c r="H13" s="2">
        <v>6.924768518518519E-2</v>
      </c>
      <c r="I13">
        <v>93</v>
      </c>
      <c r="J13">
        <v>123</v>
      </c>
      <c r="K13">
        <v>1.4</v>
      </c>
      <c r="L13">
        <v>58</v>
      </c>
      <c r="M13">
        <v>197</v>
      </c>
      <c r="N13" s="3">
        <v>0.89583333333333337</v>
      </c>
      <c r="O13" s="3">
        <v>0.24236111111111111</v>
      </c>
      <c r="P13">
        <v>132</v>
      </c>
      <c r="Q13">
        <v>107</v>
      </c>
      <c r="R13">
        <v>0.82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>
        <v>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s="4">
        <v>6508</v>
      </c>
      <c r="AE13" t="s">
        <v>41</v>
      </c>
      <c r="AF13" t="s">
        <v>41</v>
      </c>
      <c r="AG13">
        <v>-6</v>
      </c>
      <c r="AH13">
        <v>25</v>
      </c>
      <c r="AI13" t="s">
        <v>42</v>
      </c>
      <c r="AJ13" s="2">
        <v>1.0173611111111111E-2</v>
      </c>
      <c r="AK13">
        <v>5</v>
      </c>
      <c r="AL13">
        <v>32</v>
      </c>
      <c r="AM13" s="2">
        <v>4.3136574074074077E-2</v>
      </c>
      <c r="AN13" s="2">
        <v>7.2754629629629627E-2</v>
      </c>
      <c r="AO13">
        <v>-5</v>
      </c>
      <c r="AP13">
        <v>100</v>
      </c>
    </row>
    <row r="14" spans="1:42" x14ac:dyDescent="0.25">
      <c r="A14" t="s">
        <v>104</v>
      </c>
      <c r="B14" s="1">
        <v>46003.762118055558</v>
      </c>
      <c r="C14" t="s">
        <v>52</v>
      </c>
      <c r="D14" t="s">
        <v>248</v>
      </c>
      <c r="E14" t="s">
        <v>107</v>
      </c>
      <c r="F14">
        <v>2.02</v>
      </c>
      <c r="G14">
        <v>163</v>
      </c>
      <c r="H14" s="2">
        <v>2.6898148148148147E-2</v>
      </c>
      <c r="I14">
        <v>110</v>
      </c>
      <c r="J14">
        <v>135</v>
      </c>
      <c r="K14">
        <v>2</v>
      </c>
      <c r="L14">
        <v>78</v>
      </c>
      <c r="M14">
        <v>222</v>
      </c>
      <c r="N14" s="3">
        <v>0.7993055555555556</v>
      </c>
      <c r="O14" s="3">
        <v>0.18958333333333333</v>
      </c>
      <c r="P14">
        <v>132</v>
      </c>
      <c r="Q14">
        <v>126</v>
      </c>
      <c r="R14">
        <v>0.66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>
        <v>0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s="4">
        <v>3348</v>
      </c>
      <c r="AE14" t="s">
        <v>41</v>
      </c>
      <c r="AF14" t="s">
        <v>41</v>
      </c>
      <c r="AG14">
        <v>-3</v>
      </c>
      <c r="AH14">
        <v>23</v>
      </c>
      <c r="AI14" t="s">
        <v>42</v>
      </c>
      <c r="AJ14" s="5">
        <v>3.2407407407407408E-5</v>
      </c>
      <c r="AK14">
        <v>3</v>
      </c>
      <c r="AL14">
        <v>28</v>
      </c>
      <c r="AM14" s="2">
        <v>2.0069444444444445E-2</v>
      </c>
      <c r="AN14" s="2">
        <v>3.2812500000000001E-2</v>
      </c>
      <c r="AO14">
        <v>14</v>
      </c>
      <c r="AP14">
        <v>147</v>
      </c>
    </row>
    <row r="15" spans="1:42" x14ac:dyDescent="0.25">
      <c r="A15" t="s">
        <v>104</v>
      </c>
      <c r="B15" s="1">
        <v>46000.651006944441</v>
      </c>
      <c r="C15" t="s">
        <v>53</v>
      </c>
      <c r="D15" t="s">
        <v>247</v>
      </c>
      <c r="E15" t="s">
        <v>107</v>
      </c>
      <c r="F15">
        <v>3.47</v>
      </c>
      <c r="G15">
        <v>214</v>
      </c>
      <c r="H15" s="2">
        <v>3.8854166666666669E-2</v>
      </c>
      <c r="I15">
        <v>101</v>
      </c>
      <c r="J15">
        <v>131</v>
      </c>
      <c r="K15">
        <v>1.7</v>
      </c>
      <c r="L15">
        <v>82</v>
      </c>
      <c r="M15">
        <v>158</v>
      </c>
      <c r="N15" s="3">
        <v>0.67291666666666672</v>
      </c>
      <c r="O15" s="3">
        <v>0.36666666666666664</v>
      </c>
      <c r="P15">
        <v>90</v>
      </c>
      <c r="Q15">
        <v>73</v>
      </c>
      <c r="R15">
        <v>0.76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>
        <v>0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s="4">
        <v>4806</v>
      </c>
      <c r="AE15" t="s">
        <v>41</v>
      </c>
      <c r="AF15" t="s">
        <v>41</v>
      </c>
      <c r="AG15">
        <v>-5</v>
      </c>
      <c r="AH15">
        <v>27</v>
      </c>
      <c r="AI15" t="s">
        <v>42</v>
      </c>
      <c r="AJ15" s="5">
        <v>5.7546296296296295E-3</v>
      </c>
      <c r="AK15">
        <v>4</v>
      </c>
      <c r="AL15">
        <v>33</v>
      </c>
      <c r="AM15" s="2">
        <v>3.1747685185185184E-2</v>
      </c>
      <c r="AN15" s="2">
        <v>3.8854166666666669E-2</v>
      </c>
      <c r="AO15">
        <v>320</v>
      </c>
      <c r="AP15">
        <v>361</v>
      </c>
    </row>
    <row r="16" spans="1:42" x14ac:dyDescent="0.25">
      <c r="A16" t="s">
        <v>104</v>
      </c>
      <c r="B16" s="1">
        <v>45995.575624999998</v>
      </c>
      <c r="C16" t="s">
        <v>54</v>
      </c>
      <c r="D16" t="s">
        <v>246</v>
      </c>
      <c r="E16" t="s">
        <v>107</v>
      </c>
      <c r="F16">
        <v>1.52</v>
      </c>
      <c r="G16">
        <v>154</v>
      </c>
      <c r="H16" s="2">
        <v>2.841435185185185E-2</v>
      </c>
      <c r="I16">
        <v>110</v>
      </c>
      <c r="J16">
        <v>160</v>
      </c>
      <c r="K16">
        <v>1.9</v>
      </c>
      <c r="L16">
        <v>45</v>
      </c>
      <c r="M16">
        <v>158</v>
      </c>
      <c r="N16" s="6">
        <v>1.1201388888888888</v>
      </c>
      <c r="O16" s="3">
        <v>0.39791666666666664</v>
      </c>
      <c r="P16">
        <v>108</v>
      </c>
      <c r="Q16">
        <v>110</v>
      </c>
      <c r="R16">
        <v>0.83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>
        <v>0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s="4">
        <v>2424</v>
      </c>
      <c r="AE16" t="s">
        <v>41</v>
      </c>
      <c r="AF16" t="s">
        <v>41</v>
      </c>
      <c r="AG16">
        <v>-5</v>
      </c>
      <c r="AH16">
        <v>29</v>
      </c>
      <c r="AI16" t="s">
        <v>42</v>
      </c>
      <c r="AJ16" s="2">
        <v>8.2407407407407412E-3</v>
      </c>
      <c r="AK16">
        <v>2</v>
      </c>
      <c r="AL16">
        <v>36</v>
      </c>
      <c r="AM16" s="2">
        <v>1.6145833333333335E-2</v>
      </c>
      <c r="AN16" s="2">
        <v>2.841435185185185E-2</v>
      </c>
      <c r="AO16">
        <v>722</v>
      </c>
      <c r="AP16">
        <v>826</v>
      </c>
    </row>
    <row r="17" spans="1:42" x14ac:dyDescent="0.25">
      <c r="A17" t="s">
        <v>104</v>
      </c>
      <c r="B17" s="1">
        <v>45995.497037037036</v>
      </c>
      <c r="C17" t="s">
        <v>54</v>
      </c>
      <c r="D17" t="s">
        <v>245</v>
      </c>
      <c r="E17" t="s">
        <v>107</v>
      </c>
      <c r="F17">
        <v>4.3099999999999996</v>
      </c>
      <c r="G17">
        <v>282</v>
      </c>
      <c r="H17" s="2">
        <v>5.6493055555555553E-2</v>
      </c>
      <c r="I17">
        <v>95</v>
      </c>
      <c r="J17">
        <v>126</v>
      </c>
      <c r="K17">
        <v>1</v>
      </c>
      <c r="L17">
        <v>68</v>
      </c>
      <c r="M17">
        <v>182</v>
      </c>
      <c r="N17" s="3">
        <v>0.78749999999999998</v>
      </c>
      <c r="O17" s="3">
        <v>0.43541666666666667</v>
      </c>
      <c r="P17">
        <v>121</v>
      </c>
      <c r="Q17">
        <v>93</v>
      </c>
      <c r="R17">
        <v>0.78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>
        <v>0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s="4">
        <v>6150</v>
      </c>
      <c r="AE17" t="s">
        <v>41</v>
      </c>
      <c r="AF17" t="s">
        <v>41</v>
      </c>
      <c r="AG17">
        <v>-8</v>
      </c>
      <c r="AH17">
        <v>28</v>
      </c>
      <c r="AI17" t="s">
        <v>42</v>
      </c>
      <c r="AJ17" s="5">
        <v>2.8136574074074075E-3</v>
      </c>
      <c r="AK17">
        <v>5</v>
      </c>
      <c r="AL17">
        <v>33</v>
      </c>
      <c r="AM17" s="2">
        <v>4.1712962962962966E-2</v>
      </c>
      <c r="AN17" s="2">
        <v>5.65162037037037E-2</v>
      </c>
      <c r="AO17">
        <v>741</v>
      </c>
      <c r="AP17">
        <v>811</v>
      </c>
    </row>
    <row r="18" spans="1:42" x14ac:dyDescent="0.25">
      <c r="A18" t="s">
        <v>104</v>
      </c>
      <c r="B18" s="1">
        <v>45994.709421296298</v>
      </c>
      <c r="C18" t="s">
        <v>55</v>
      </c>
      <c r="D18" t="s">
        <v>244</v>
      </c>
      <c r="E18" t="s">
        <v>107</v>
      </c>
      <c r="F18">
        <v>9.01</v>
      </c>
      <c r="G18">
        <v>625</v>
      </c>
      <c r="H18" s="2">
        <v>0.13385416666666666</v>
      </c>
      <c r="I18">
        <v>92</v>
      </c>
      <c r="J18">
        <v>153</v>
      </c>
      <c r="K18">
        <v>1.7</v>
      </c>
      <c r="L18">
        <v>68</v>
      </c>
      <c r="M18">
        <v>188</v>
      </c>
      <c r="N18" s="3">
        <v>0.89166666666666672</v>
      </c>
      <c r="O18" s="3">
        <v>0.41805555555555557</v>
      </c>
      <c r="P18">
        <v>412</v>
      </c>
      <c r="Q18">
        <v>404</v>
      </c>
      <c r="R18">
        <v>0.68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>
        <v>0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s="4">
        <v>13762</v>
      </c>
      <c r="AE18" t="s">
        <v>41</v>
      </c>
      <c r="AF18" t="s">
        <v>41</v>
      </c>
      <c r="AG18">
        <v>-13</v>
      </c>
      <c r="AH18">
        <v>18</v>
      </c>
      <c r="AI18" t="s">
        <v>42</v>
      </c>
      <c r="AJ18" s="5">
        <v>6.712962962962963E-5</v>
      </c>
      <c r="AK18">
        <v>10</v>
      </c>
      <c r="AL18">
        <v>28</v>
      </c>
      <c r="AM18" s="2">
        <v>9.9942129629629631E-2</v>
      </c>
      <c r="AN18" s="2">
        <v>0.13385416666666666</v>
      </c>
      <c r="AO18">
        <v>706</v>
      </c>
      <c r="AP18" s="4">
        <v>1018</v>
      </c>
    </row>
    <row r="19" spans="1:42" x14ac:dyDescent="0.25">
      <c r="A19" t="s">
        <v>104</v>
      </c>
      <c r="B19" s="1">
        <v>45987.700706018521</v>
      </c>
      <c r="C19" t="s">
        <v>56</v>
      </c>
      <c r="D19" t="s">
        <v>243</v>
      </c>
      <c r="E19" t="s">
        <v>107</v>
      </c>
      <c r="F19">
        <v>9.74</v>
      </c>
      <c r="G19">
        <v>632</v>
      </c>
      <c r="H19" s="2">
        <v>9.0243055555555562E-2</v>
      </c>
      <c r="I19">
        <v>123</v>
      </c>
      <c r="J19">
        <v>166</v>
      </c>
      <c r="K19">
        <v>3.3</v>
      </c>
      <c r="L19">
        <v>91</v>
      </c>
      <c r="M19">
        <v>179</v>
      </c>
      <c r="N19" s="3">
        <v>0.55625000000000002</v>
      </c>
      <c r="O19" s="3">
        <v>0.32083333333333336</v>
      </c>
      <c r="P19">
        <v>387</v>
      </c>
      <c r="Q19">
        <v>386</v>
      </c>
      <c r="R19">
        <v>0.82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>
        <v>0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s="4">
        <v>12596</v>
      </c>
      <c r="AE19" t="s">
        <v>41</v>
      </c>
      <c r="AF19" t="s">
        <v>41</v>
      </c>
      <c r="AG19">
        <v>-11</v>
      </c>
      <c r="AH19">
        <v>30</v>
      </c>
      <c r="AI19" t="s">
        <v>42</v>
      </c>
      <c r="AJ19" s="5">
        <v>6.5439814814814814E-3</v>
      </c>
      <c r="AK19">
        <v>10</v>
      </c>
      <c r="AL19">
        <v>34</v>
      </c>
      <c r="AM19" s="2">
        <v>7.9548611111111112E-2</v>
      </c>
      <c r="AN19" s="2">
        <v>9.0243055555555562E-2</v>
      </c>
      <c r="AO19" t="s">
        <v>41</v>
      </c>
      <c r="AP19">
        <v>155</v>
      </c>
    </row>
    <row r="20" spans="1:42" x14ac:dyDescent="0.25">
      <c r="A20" t="s">
        <v>104</v>
      </c>
      <c r="B20" s="1">
        <v>45986.737627314818</v>
      </c>
      <c r="C20" t="s">
        <v>56</v>
      </c>
      <c r="D20" t="s">
        <v>242</v>
      </c>
      <c r="E20" t="s">
        <v>107</v>
      </c>
      <c r="F20">
        <v>6.32</v>
      </c>
      <c r="G20">
        <v>483</v>
      </c>
      <c r="H20" s="2">
        <v>8.6458333333333331E-2</v>
      </c>
      <c r="I20">
        <v>106</v>
      </c>
      <c r="J20">
        <v>169</v>
      </c>
      <c r="K20">
        <v>3</v>
      </c>
      <c r="L20">
        <v>66</v>
      </c>
      <c r="M20">
        <v>241</v>
      </c>
      <c r="N20" s="3">
        <v>0.8208333333333333</v>
      </c>
      <c r="O20" s="3">
        <v>0.30486111111111114</v>
      </c>
      <c r="P20">
        <v>327</v>
      </c>
      <c r="Q20">
        <v>328</v>
      </c>
      <c r="R20">
        <v>0.77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>
        <v>0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s="4">
        <v>9814</v>
      </c>
      <c r="AE20" t="s">
        <v>41</v>
      </c>
      <c r="AF20" t="s">
        <v>41</v>
      </c>
      <c r="AG20">
        <v>-10</v>
      </c>
      <c r="AH20">
        <v>20</v>
      </c>
      <c r="AI20" t="s">
        <v>42</v>
      </c>
      <c r="AJ20" s="5">
        <v>3.1099537037037038E-3</v>
      </c>
      <c r="AK20">
        <v>7</v>
      </c>
      <c r="AL20">
        <v>28</v>
      </c>
      <c r="AM20" s="2">
        <v>6.0833333333333336E-2</v>
      </c>
      <c r="AN20" s="2">
        <v>8.6458333333333331E-2</v>
      </c>
      <c r="AO20">
        <v>3</v>
      </c>
      <c r="AP20">
        <v>187</v>
      </c>
    </row>
    <row r="21" spans="1:42" x14ac:dyDescent="0.25">
      <c r="A21" t="s">
        <v>104</v>
      </c>
      <c r="B21" s="1">
        <v>45984.517291666663</v>
      </c>
      <c r="C21" t="s">
        <v>57</v>
      </c>
      <c r="D21" t="s">
        <v>241</v>
      </c>
      <c r="E21" t="s">
        <v>107</v>
      </c>
      <c r="F21">
        <v>11</v>
      </c>
      <c r="G21">
        <v>614</v>
      </c>
      <c r="H21" s="2">
        <v>9.0706018518518519E-2</v>
      </c>
      <c r="I21">
        <v>104</v>
      </c>
      <c r="J21">
        <v>121</v>
      </c>
      <c r="K21">
        <v>2.6</v>
      </c>
      <c r="L21">
        <v>103</v>
      </c>
      <c r="M21">
        <v>159</v>
      </c>
      <c r="N21" s="3">
        <v>0.49444444444444446</v>
      </c>
      <c r="O21" s="3">
        <v>0.36666666666666664</v>
      </c>
      <c r="P21">
        <v>119</v>
      </c>
      <c r="Q21">
        <v>108</v>
      </c>
      <c r="R21">
        <v>0.82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>
        <v>0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s="4">
        <v>13766</v>
      </c>
      <c r="AE21" t="s">
        <v>41</v>
      </c>
      <c r="AF21" t="s">
        <v>41</v>
      </c>
      <c r="AG21">
        <v>-21</v>
      </c>
      <c r="AH21">
        <v>24</v>
      </c>
      <c r="AI21" t="s">
        <v>42</v>
      </c>
      <c r="AJ21" s="5">
        <v>3.2407407407407408E-5</v>
      </c>
      <c r="AK21">
        <v>12</v>
      </c>
      <c r="AL21">
        <v>32</v>
      </c>
      <c r="AM21" s="2">
        <v>8.6423611111111118E-2</v>
      </c>
      <c r="AN21" s="2">
        <v>9.0706018518518519E-2</v>
      </c>
      <c r="AO21">
        <v>317</v>
      </c>
      <c r="AP21">
        <v>352</v>
      </c>
    </row>
    <row r="22" spans="1:42" x14ac:dyDescent="0.25">
      <c r="A22" t="s">
        <v>104</v>
      </c>
      <c r="B22" s="1">
        <v>45983.478321759256</v>
      </c>
      <c r="C22" t="s">
        <v>49</v>
      </c>
      <c r="D22" t="s">
        <v>240</v>
      </c>
      <c r="E22" t="s">
        <v>107</v>
      </c>
      <c r="F22">
        <v>1.57</v>
      </c>
      <c r="G22">
        <v>117</v>
      </c>
      <c r="H22" s="2">
        <v>2.326388888888889E-2</v>
      </c>
      <c r="I22">
        <v>101</v>
      </c>
      <c r="J22">
        <v>139</v>
      </c>
      <c r="K22">
        <v>0.7</v>
      </c>
      <c r="L22">
        <v>71</v>
      </c>
      <c r="M22">
        <v>160</v>
      </c>
      <c r="N22" s="3">
        <v>0.8881944444444444</v>
      </c>
      <c r="O22" s="3">
        <v>0.24583333333333332</v>
      </c>
      <c r="P22">
        <v>73</v>
      </c>
      <c r="Q22">
        <v>71</v>
      </c>
      <c r="R22">
        <v>0.66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>
        <v>0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s="4">
        <v>2842</v>
      </c>
      <c r="AE22" t="s">
        <v>41</v>
      </c>
      <c r="AF22" t="s">
        <v>41</v>
      </c>
      <c r="AG22">
        <v>-4</v>
      </c>
      <c r="AH22">
        <v>25</v>
      </c>
      <c r="AI22" t="s">
        <v>42</v>
      </c>
      <c r="AJ22" s="2">
        <v>7.4537037037037037E-3</v>
      </c>
      <c r="AK22">
        <v>2</v>
      </c>
      <c r="AL22">
        <v>28</v>
      </c>
      <c r="AM22" s="2">
        <v>1.7789351851851851E-2</v>
      </c>
      <c r="AN22" s="2">
        <v>2.326388888888889E-2</v>
      </c>
      <c r="AO22">
        <v>277</v>
      </c>
      <c r="AP22">
        <v>307</v>
      </c>
    </row>
    <row r="23" spans="1:42" x14ac:dyDescent="0.25">
      <c r="A23" t="s">
        <v>104</v>
      </c>
      <c r="B23" s="1">
        <v>45983.410196759258</v>
      </c>
      <c r="C23" t="s">
        <v>49</v>
      </c>
      <c r="D23" t="s">
        <v>239</v>
      </c>
      <c r="E23" t="s">
        <v>107</v>
      </c>
      <c r="F23">
        <v>2.99</v>
      </c>
      <c r="G23">
        <v>264</v>
      </c>
      <c r="H23" s="2">
        <v>4.7800925925925927E-2</v>
      </c>
      <c r="I23">
        <v>111</v>
      </c>
      <c r="J23">
        <v>151</v>
      </c>
      <c r="K23">
        <v>2</v>
      </c>
      <c r="L23">
        <v>62</v>
      </c>
      <c r="M23">
        <v>250</v>
      </c>
      <c r="N23" s="3">
        <v>0.95902777777777781</v>
      </c>
      <c r="O23" s="3">
        <v>0.27847222222222223</v>
      </c>
      <c r="P23">
        <v>187</v>
      </c>
      <c r="Q23">
        <v>185</v>
      </c>
      <c r="R23">
        <v>0.7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>
        <v>0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s="4">
        <v>5508</v>
      </c>
      <c r="AE23" t="s">
        <v>41</v>
      </c>
      <c r="AF23" t="s">
        <v>41</v>
      </c>
      <c r="AG23">
        <v>-9</v>
      </c>
      <c r="AH23">
        <v>21</v>
      </c>
      <c r="AI23" t="s">
        <v>42</v>
      </c>
      <c r="AJ23" s="2">
        <v>1.3761574074074074E-2</v>
      </c>
      <c r="AK23">
        <v>3</v>
      </c>
      <c r="AL23">
        <v>28</v>
      </c>
      <c r="AM23" s="2">
        <v>3.2268518518518516E-2</v>
      </c>
      <c r="AN23" s="2">
        <v>4.7800925925925927E-2</v>
      </c>
      <c r="AO23">
        <v>445</v>
      </c>
      <c r="AP23">
        <v>602</v>
      </c>
    </row>
    <row r="24" spans="1:42" x14ac:dyDescent="0.25">
      <c r="A24" t="s">
        <v>40</v>
      </c>
      <c r="B24" s="1">
        <v>45982.846944444442</v>
      </c>
      <c r="C24" t="s">
        <v>58</v>
      </c>
      <c r="D24" t="s">
        <v>238</v>
      </c>
      <c r="E24" t="s">
        <v>107</v>
      </c>
      <c r="F24">
        <v>3.04</v>
      </c>
      <c r="G24">
        <v>351</v>
      </c>
      <c r="H24" s="2">
        <v>4.4143518518518519E-2</v>
      </c>
      <c r="I24">
        <v>140</v>
      </c>
      <c r="J24">
        <v>179</v>
      </c>
      <c r="K24">
        <v>3.1</v>
      </c>
      <c r="L24">
        <v>52</v>
      </c>
      <c r="M24">
        <v>207</v>
      </c>
      <c r="N24" s="3">
        <v>0.87152777777777779</v>
      </c>
      <c r="O24" s="3">
        <v>6.3888888888888884E-2</v>
      </c>
      <c r="P24">
        <v>128</v>
      </c>
      <c r="Q24">
        <v>127</v>
      </c>
      <c r="R24">
        <v>0.86</v>
      </c>
      <c r="S24">
        <v>8.8000000000000007</v>
      </c>
      <c r="T24">
        <v>6.3</v>
      </c>
      <c r="U24">
        <v>305</v>
      </c>
      <c r="V24" s="3">
        <v>0.84583333333333333</v>
      </c>
      <c r="W24">
        <v>157</v>
      </c>
      <c r="X24">
        <v>0</v>
      </c>
      <c r="Y24">
        <v>58</v>
      </c>
      <c r="Z24">
        <v>407</v>
      </c>
      <c r="AA24" t="s">
        <v>41</v>
      </c>
      <c r="AB24" t="s">
        <v>41</v>
      </c>
      <c r="AC24" t="s">
        <v>41</v>
      </c>
      <c r="AD24" s="4">
        <v>4448</v>
      </c>
      <c r="AE24" t="s">
        <v>41</v>
      </c>
      <c r="AF24" t="s">
        <v>41</v>
      </c>
      <c r="AG24">
        <v>-9</v>
      </c>
      <c r="AH24">
        <v>25</v>
      </c>
      <c r="AI24" t="s">
        <v>42</v>
      </c>
      <c r="AJ24" s="5">
        <v>3.4722222222222222E-5</v>
      </c>
      <c r="AK24">
        <v>4</v>
      </c>
      <c r="AL24">
        <v>30</v>
      </c>
      <c r="AM24" s="2">
        <v>2.5381944444444443E-2</v>
      </c>
      <c r="AN24" s="2">
        <v>4.5023148148148145E-2</v>
      </c>
      <c r="AO24">
        <v>749</v>
      </c>
      <c r="AP24">
        <v>792</v>
      </c>
    </row>
    <row r="25" spans="1:42" x14ac:dyDescent="0.25">
      <c r="A25" t="s">
        <v>104</v>
      </c>
      <c r="B25" s="1">
        <v>45982.751377314817</v>
      </c>
      <c r="C25" t="s">
        <v>59</v>
      </c>
      <c r="D25" t="s">
        <v>237</v>
      </c>
      <c r="E25" t="s">
        <v>107</v>
      </c>
      <c r="F25">
        <v>2.06</v>
      </c>
      <c r="G25">
        <v>170</v>
      </c>
      <c r="H25" s="2">
        <v>3.0543981481481481E-2</v>
      </c>
      <c r="I25">
        <v>107</v>
      </c>
      <c r="J25">
        <v>156</v>
      </c>
      <c r="K25">
        <v>1.8</v>
      </c>
      <c r="L25">
        <v>61</v>
      </c>
      <c r="M25">
        <v>245</v>
      </c>
      <c r="N25" s="3">
        <v>0.89027777777777772</v>
      </c>
      <c r="O25" s="3">
        <v>0.24652777777777779</v>
      </c>
      <c r="P25">
        <v>126</v>
      </c>
      <c r="Q25">
        <v>125</v>
      </c>
      <c r="R25">
        <v>0.77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>
        <v>0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s="4">
        <v>3348</v>
      </c>
      <c r="AE25" t="s">
        <v>41</v>
      </c>
      <c r="AF25" t="s">
        <v>41</v>
      </c>
      <c r="AG25">
        <v>-4</v>
      </c>
      <c r="AH25">
        <v>23</v>
      </c>
      <c r="AI25" t="s">
        <v>42</v>
      </c>
      <c r="AJ25" s="5">
        <v>5.3703703703703704E-4</v>
      </c>
      <c r="AK25">
        <v>3</v>
      </c>
      <c r="AL25">
        <v>25</v>
      </c>
      <c r="AM25" s="2">
        <v>2.013888888888889E-2</v>
      </c>
      <c r="AN25" s="2">
        <v>3.0543981481481481E-2</v>
      </c>
      <c r="AO25">
        <v>754</v>
      </c>
      <c r="AP25">
        <v>838</v>
      </c>
    </row>
    <row r="26" spans="1:42" x14ac:dyDescent="0.25">
      <c r="A26" t="s">
        <v>104</v>
      </c>
      <c r="B26" s="1">
        <v>45982.625763888886</v>
      </c>
      <c r="C26" t="s">
        <v>60</v>
      </c>
      <c r="D26" t="s">
        <v>236</v>
      </c>
      <c r="E26" t="s">
        <v>107</v>
      </c>
      <c r="F26">
        <v>2.16</v>
      </c>
      <c r="G26">
        <v>127</v>
      </c>
      <c r="H26" s="2">
        <v>2.3495370370370371E-2</v>
      </c>
      <c r="I26">
        <v>98</v>
      </c>
      <c r="J26">
        <v>119</v>
      </c>
      <c r="K26">
        <v>0.8</v>
      </c>
      <c r="L26">
        <v>85</v>
      </c>
      <c r="M26">
        <v>169</v>
      </c>
      <c r="N26" s="3">
        <v>0.65208333333333335</v>
      </c>
      <c r="O26" s="3">
        <v>0.30763888888888891</v>
      </c>
      <c r="P26">
        <v>64</v>
      </c>
      <c r="Q26">
        <v>57</v>
      </c>
      <c r="R26">
        <v>0.75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>
        <v>0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s="4">
        <v>3032</v>
      </c>
      <c r="AE26" t="s">
        <v>41</v>
      </c>
      <c r="AF26" t="s">
        <v>41</v>
      </c>
      <c r="AG26">
        <v>-3</v>
      </c>
      <c r="AH26">
        <v>25</v>
      </c>
      <c r="AI26" t="s">
        <v>42</v>
      </c>
      <c r="AJ26" s="5">
        <v>1.457175925925926E-3</v>
      </c>
      <c r="AK26">
        <v>3</v>
      </c>
      <c r="AL26">
        <v>30</v>
      </c>
      <c r="AM26" s="2">
        <v>2.0196759259259258E-2</v>
      </c>
      <c r="AN26" s="2">
        <v>2.3495370370370371E-2</v>
      </c>
      <c r="AO26">
        <v>73</v>
      </c>
      <c r="AP26">
        <v>110</v>
      </c>
    </row>
    <row r="27" spans="1:42" x14ac:dyDescent="0.25">
      <c r="A27" t="s">
        <v>104</v>
      </c>
      <c r="B27" s="1">
        <v>45981.535358796296</v>
      </c>
      <c r="C27" t="s">
        <v>61</v>
      </c>
      <c r="D27" t="s">
        <v>235</v>
      </c>
      <c r="E27" t="s">
        <v>107</v>
      </c>
      <c r="F27">
        <v>2.2400000000000002</v>
      </c>
      <c r="G27">
        <v>133</v>
      </c>
      <c r="H27" s="2">
        <v>2.1805555555555557E-2</v>
      </c>
      <c r="I27">
        <v>106</v>
      </c>
      <c r="J27">
        <v>126</v>
      </c>
      <c r="K27">
        <v>1</v>
      </c>
      <c r="L27">
        <v>93</v>
      </c>
      <c r="M27">
        <v>127</v>
      </c>
      <c r="N27" s="3">
        <v>0.58333333333333337</v>
      </c>
      <c r="O27" s="3">
        <v>0.4201388888888889</v>
      </c>
      <c r="P27">
        <v>56</v>
      </c>
      <c r="Q27">
        <v>38</v>
      </c>
      <c r="R27">
        <v>0.77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>
        <v>0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s="4">
        <v>3024</v>
      </c>
      <c r="AE27" t="s">
        <v>41</v>
      </c>
      <c r="AF27" t="s">
        <v>41</v>
      </c>
      <c r="AG27">
        <v>-3</v>
      </c>
      <c r="AH27">
        <v>26</v>
      </c>
      <c r="AI27" t="s">
        <v>42</v>
      </c>
      <c r="AJ27" s="5">
        <v>1.9837962962962964E-3</v>
      </c>
      <c r="AK27">
        <v>3</v>
      </c>
      <c r="AL27">
        <v>33</v>
      </c>
      <c r="AM27" s="2">
        <v>1.9594907407407408E-2</v>
      </c>
      <c r="AN27" s="2">
        <v>2.1805555555555557E-2</v>
      </c>
      <c r="AO27">
        <v>77</v>
      </c>
      <c r="AP27">
        <v>116</v>
      </c>
    </row>
    <row r="28" spans="1:42" x14ac:dyDescent="0.25">
      <c r="A28" t="s">
        <v>104</v>
      </c>
      <c r="B28" s="1">
        <v>45980.132905092592</v>
      </c>
      <c r="C28" t="s">
        <v>62</v>
      </c>
      <c r="D28" t="s">
        <v>234</v>
      </c>
      <c r="E28" t="s">
        <v>107</v>
      </c>
      <c r="F28">
        <v>15.81</v>
      </c>
      <c r="G28" s="4">
        <v>1600</v>
      </c>
      <c r="H28" s="2">
        <v>0.24721064814814814</v>
      </c>
      <c r="I28">
        <v>134</v>
      </c>
      <c r="J28">
        <v>184</v>
      </c>
      <c r="K28">
        <v>4.3</v>
      </c>
      <c r="L28">
        <v>55</v>
      </c>
      <c r="M28">
        <v>231</v>
      </c>
      <c r="N28" s="3">
        <v>0.93819444444444444</v>
      </c>
      <c r="O28" s="3">
        <v>0.27083333333333331</v>
      </c>
      <c r="P28" s="4">
        <v>1279</v>
      </c>
      <c r="Q28" s="4">
        <v>1256</v>
      </c>
      <c r="R28">
        <v>1.05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>
        <v>0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s="4">
        <v>22140</v>
      </c>
      <c r="AE28" t="s">
        <v>41</v>
      </c>
      <c r="AF28" t="s">
        <v>41</v>
      </c>
      <c r="AG28">
        <v>-22</v>
      </c>
      <c r="AH28">
        <v>13</v>
      </c>
      <c r="AI28" t="s">
        <v>42</v>
      </c>
      <c r="AJ28" s="2">
        <v>9.9074074074074082E-3</v>
      </c>
      <c r="AK28">
        <v>16</v>
      </c>
      <c r="AL28">
        <v>29</v>
      </c>
      <c r="AM28" s="2">
        <v>0.17167824074074073</v>
      </c>
      <c r="AN28" s="2">
        <v>0.25571759259259258</v>
      </c>
      <c r="AO28">
        <v>336</v>
      </c>
      <c r="AP28" s="4">
        <v>1579</v>
      </c>
    </row>
    <row r="29" spans="1:42" x14ac:dyDescent="0.25">
      <c r="A29" t="s">
        <v>104</v>
      </c>
      <c r="B29" s="1">
        <v>45978.816886574074</v>
      </c>
      <c r="C29" t="s">
        <v>63</v>
      </c>
      <c r="D29" t="s">
        <v>233</v>
      </c>
      <c r="E29" t="s">
        <v>107</v>
      </c>
      <c r="F29">
        <v>5.51</v>
      </c>
      <c r="G29">
        <v>678</v>
      </c>
      <c r="H29" s="2">
        <v>0.11425925925925925</v>
      </c>
      <c r="I29">
        <v>126</v>
      </c>
      <c r="J29">
        <v>168</v>
      </c>
      <c r="K29">
        <v>3.7</v>
      </c>
      <c r="L29">
        <v>60</v>
      </c>
      <c r="M29">
        <v>160</v>
      </c>
      <c r="N29" s="6">
        <v>1.2444444444444445</v>
      </c>
      <c r="O29" s="3">
        <v>0.43819444444444444</v>
      </c>
      <c r="P29">
        <v>583</v>
      </c>
      <c r="Q29">
        <v>596</v>
      </c>
      <c r="R29">
        <v>0.6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>
        <v>0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s="4">
        <v>12656</v>
      </c>
      <c r="AE29" t="s">
        <v>41</v>
      </c>
      <c r="AF29" t="s">
        <v>41</v>
      </c>
      <c r="AG29">
        <v>-7</v>
      </c>
      <c r="AH29">
        <v>22</v>
      </c>
      <c r="AI29" t="s">
        <v>42</v>
      </c>
      <c r="AJ29" s="2">
        <v>1.4166666666666666E-2</v>
      </c>
      <c r="AK29">
        <v>6</v>
      </c>
      <c r="AL29">
        <v>29</v>
      </c>
      <c r="AM29" s="2">
        <v>6.3888888888888884E-2</v>
      </c>
      <c r="AN29" s="2">
        <v>0.11425925925925925</v>
      </c>
      <c r="AO29">
        <v>351</v>
      </c>
      <c r="AP29">
        <v>942</v>
      </c>
    </row>
    <row r="30" spans="1:42" x14ac:dyDescent="0.25">
      <c r="A30" t="s">
        <v>104</v>
      </c>
      <c r="B30" s="1">
        <v>45974.445486111108</v>
      </c>
      <c r="C30" t="s">
        <v>64</v>
      </c>
      <c r="D30" t="s">
        <v>232</v>
      </c>
      <c r="E30" t="s">
        <v>107</v>
      </c>
      <c r="F30">
        <v>17.37</v>
      </c>
      <c r="G30" s="4">
        <v>1985</v>
      </c>
      <c r="H30" s="2">
        <v>0.25961805555555556</v>
      </c>
      <c r="I30">
        <v>150</v>
      </c>
      <c r="J30">
        <v>193</v>
      </c>
      <c r="K30">
        <v>5</v>
      </c>
      <c r="L30">
        <v>68</v>
      </c>
      <c r="M30">
        <v>240</v>
      </c>
      <c r="N30" s="3">
        <v>0.89722222222222225</v>
      </c>
      <c r="O30" s="3">
        <v>0.20416666666666666</v>
      </c>
      <c r="P30" s="4">
        <v>1537</v>
      </c>
      <c r="Q30" s="4">
        <v>1485</v>
      </c>
      <c r="R30">
        <v>0.68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>
        <v>0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s="4">
        <v>29024</v>
      </c>
      <c r="AE30" t="s">
        <v>41</v>
      </c>
      <c r="AF30" t="s">
        <v>41</v>
      </c>
      <c r="AG30">
        <v>-62</v>
      </c>
      <c r="AH30">
        <v>19</v>
      </c>
      <c r="AI30" t="s">
        <v>42</v>
      </c>
      <c r="AJ30" s="5">
        <v>5.5613425925925926E-3</v>
      </c>
      <c r="AK30">
        <v>18</v>
      </c>
      <c r="AL30">
        <v>29</v>
      </c>
      <c r="AM30" s="2">
        <v>0.17028935185185184</v>
      </c>
      <c r="AN30" s="2">
        <v>0.25962962962962965</v>
      </c>
      <c r="AO30">
        <v>332</v>
      </c>
      <c r="AP30" s="4">
        <v>1749</v>
      </c>
    </row>
    <row r="31" spans="1:42" x14ac:dyDescent="0.25">
      <c r="A31" t="s">
        <v>40</v>
      </c>
      <c r="B31" s="1">
        <v>45971.694178240738</v>
      </c>
      <c r="C31" t="s">
        <v>65</v>
      </c>
      <c r="D31" t="s">
        <v>221</v>
      </c>
      <c r="E31" t="s">
        <v>107</v>
      </c>
      <c r="F31">
        <v>4.93</v>
      </c>
      <c r="G31">
        <v>294</v>
      </c>
      <c r="H31" s="2">
        <v>2.3703703703703703E-2</v>
      </c>
      <c r="I31">
        <v>170</v>
      </c>
      <c r="J31">
        <v>189</v>
      </c>
      <c r="K31">
        <v>4.5999999999999996</v>
      </c>
      <c r="L31">
        <v>156</v>
      </c>
      <c r="M31">
        <v>182</v>
      </c>
      <c r="N31" s="3">
        <v>0.28819444444444442</v>
      </c>
      <c r="O31" s="3">
        <v>0.22916666666666666</v>
      </c>
      <c r="P31">
        <v>48</v>
      </c>
      <c r="Q31">
        <v>43</v>
      </c>
      <c r="R31">
        <v>0.93</v>
      </c>
      <c r="S31">
        <v>9.9</v>
      </c>
      <c r="T31">
        <v>9.1999999999999993</v>
      </c>
      <c r="U31">
        <v>294</v>
      </c>
      <c r="V31" s="3">
        <v>0.28263888888888888</v>
      </c>
      <c r="W31">
        <v>250</v>
      </c>
      <c r="X31">
        <v>0</v>
      </c>
      <c r="Y31">
        <v>244</v>
      </c>
      <c r="Z31">
        <v>423</v>
      </c>
      <c r="AA31" t="s">
        <v>41</v>
      </c>
      <c r="AB31" t="s">
        <v>41</v>
      </c>
      <c r="AC31" t="s">
        <v>41</v>
      </c>
      <c r="AD31" s="4">
        <v>5310</v>
      </c>
      <c r="AE31" t="s">
        <v>41</v>
      </c>
      <c r="AF31" t="s">
        <v>41</v>
      </c>
      <c r="AG31">
        <v>-10</v>
      </c>
      <c r="AH31">
        <v>22</v>
      </c>
      <c r="AI31" t="s">
        <v>42</v>
      </c>
      <c r="AJ31" s="5">
        <v>9.2592592592592588E-5</v>
      </c>
      <c r="AK31">
        <v>6</v>
      </c>
      <c r="AL31">
        <v>28</v>
      </c>
      <c r="AM31" s="2">
        <v>2.3680555555555555E-2</v>
      </c>
      <c r="AN31" s="2">
        <v>2.3703703703703703E-2</v>
      </c>
      <c r="AO31">
        <v>313</v>
      </c>
      <c r="AP31">
        <v>330</v>
      </c>
    </row>
    <row r="32" spans="1:42" x14ac:dyDescent="0.25">
      <c r="A32" t="s">
        <v>104</v>
      </c>
      <c r="B32" s="1">
        <v>45966.566655092596</v>
      </c>
      <c r="C32" t="s">
        <v>66</v>
      </c>
      <c r="D32" t="s">
        <v>231</v>
      </c>
      <c r="E32" t="s">
        <v>107</v>
      </c>
      <c r="F32">
        <v>11.54</v>
      </c>
      <c r="G32">
        <v>924</v>
      </c>
      <c r="H32" s="2">
        <v>0.16418981481481482</v>
      </c>
      <c r="I32">
        <v>123</v>
      </c>
      <c r="J32">
        <v>170</v>
      </c>
      <c r="K32">
        <v>2.8</v>
      </c>
      <c r="L32">
        <v>72</v>
      </c>
      <c r="M32">
        <v>187</v>
      </c>
      <c r="N32" s="3">
        <v>0.85416666666666663</v>
      </c>
      <c r="O32" s="3">
        <v>0.37986111111111109</v>
      </c>
      <c r="P32">
        <v>616</v>
      </c>
      <c r="Q32">
        <v>608</v>
      </c>
      <c r="R32">
        <v>0.69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>
        <v>0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s="4">
        <v>20898</v>
      </c>
      <c r="AE32" t="s">
        <v>41</v>
      </c>
      <c r="AF32" t="s">
        <v>41</v>
      </c>
      <c r="AG32">
        <v>-14</v>
      </c>
      <c r="AH32">
        <v>23</v>
      </c>
      <c r="AI32" t="s">
        <v>42</v>
      </c>
      <c r="AJ32" s="5">
        <v>5.8472222222222224E-3</v>
      </c>
      <c r="AK32">
        <v>12</v>
      </c>
      <c r="AL32">
        <v>32</v>
      </c>
      <c r="AM32" s="2">
        <v>0.1184837962962963</v>
      </c>
      <c r="AN32" s="2">
        <v>0.18037037037037038</v>
      </c>
      <c r="AO32">
        <v>361</v>
      </c>
      <c r="AP32">
        <v>768</v>
      </c>
    </row>
    <row r="33" spans="1:42" x14ac:dyDescent="0.25">
      <c r="A33" t="s">
        <v>104</v>
      </c>
      <c r="B33" s="1">
        <v>45965.374884259261</v>
      </c>
      <c r="C33" t="s">
        <v>67</v>
      </c>
      <c r="D33" t="s">
        <v>230</v>
      </c>
      <c r="E33" t="s">
        <v>107</v>
      </c>
      <c r="F33">
        <v>23.54</v>
      </c>
      <c r="G33" s="4">
        <v>1897</v>
      </c>
      <c r="H33" s="2">
        <v>0.29923611111111109</v>
      </c>
      <c r="I33">
        <v>133</v>
      </c>
      <c r="J33">
        <v>180</v>
      </c>
      <c r="K33">
        <v>3.5</v>
      </c>
      <c r="L33">
        <v>76</v>
      </c>
      <c r="M33">
        <v>244</v>
      </c>
      <c r="N33" s="3">
        <v>0.7631944444444444</v>
      </c>
      <c r="O33" s="3">
        <v>0.36458333333333331</v>
      </c>
      <c r="P33">
        <v>939</v>
      </c>
      <c r="Q33">
        <v>930</v>
      </c>
      <c r="R33">
        <v>0.77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>
        <v>0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s="4">
        <v>35992</v>
      </c>
      <c r="AE33" t="s">
        <v>41</v>
      </c>
      <c r="AF33" t="s">
        <v>41</v>
      </c>
      <c r="AG33">
        <v>-36</v>
      </c>
      <c r="AH33">
        <v>17</v>
      </c>
      <c r="AI33" t="s">
        <v>42</v>
      </c>
      <c r="AJ33" s="5">
        <v>5.9270833333333337E-3</v>
      </c>
      <c r="AK33">
        <v>24</v>
      </c>
      <c r="AL33">
        <v>30</v>
      </c>
      <c r="AM33" s="2">
        <v>0.23575231481481482</v>
      </c>
      <c r="AN33" s="2">
        <v>0.29923611111111109</v>
      </c>
      <c r="AO33">
        <v>466</v>
      </c>
      <c r="AP33" s="4">
        <v>1157</v>
      </c>
    </row>
    <row r="34" spans="1:42" x14ac:dyDescent="0.25">
      <c r="A34" t="s">
        <v>104</v>
      </c>
      <c r="B34" s="1">
        <v>45960.548541666663</v>
      </c>
      <c r="C34" t="s">
        <v>68</v>
      </c>
      <c r="D34" t="s">
        <v>68</v>
      </c>
      <c r="E34" t="s">
        <v>107</v>
      </c>
      <c r="F34">
        <v>13.07</v>
      </c>
      <c r="G34">
        <v>830</v>
      </c>
      <c r="H34" s="2">
        <v>0.10118055555555555</v>
      </c>
      <c r="I34">
        <v>139</v>
      </c>
      <c r="J34">
        <v>181</v>
      </c>
      <c r="K34">
        <v>3.3</v>
      </c>
      <c r="L34">
        <v>100</v>
      </c>
      <c r="M34">
        <v>240</v>
      </c>
      <c r="N34" s="3">
        <v>0.46388888888888891</v>
      </c>
      <c r="O34" s="3">
        <v>5.6944444444444443E-2</v>
      </c>
      <c r="P34">
        <v>291</v>
      </c>
      <c r="Q34">
        <v>271</v>
      </c>
      <c r="R34">
        <v>0.97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>
        <v>0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s="4">
        <v>15180</v>
      </c>
      <c r="AE34" t="s">
        <v>41</v>
      </c>
      <c r="AF34" t="s">
        <v>41</v>
      </c>
      <c r="AG34">
        <v>-21</v>
      </c>
      <c r="AH34">
        <v>22</v>
      </c>
      <c r="AI34" t="s">
        <v>42</v>
      </c>
      <c r="AJ34" s="5">
        <v>7.1759259259259259E-5</v>
      </c>
      <c r="AK34">
        <v>14</v>
      </c>
      <c r="AL34">
        <v>33</v>
      </c>
      <c r="AM34" s="2">
        <v>9.2534722222222227E-2</v>
      </c>
      <c r="AN34" s="2">
        <v>0.10118055555555555</v>
      </c>
      <c r="AO34">
        <v>536</v>
      </c>
      <c r="AP34">
        <v>623</v>
      </c>
    </row>
    <row r="35" spans="1:42" x14ac:dyDescent="0.25">
      <c r="A35" t="s">
        <v>104</v>
      </c>
      <c r="B35" s="1">
        <v>45959.694004629629</v>
      </c>
      <c r="C35" t="s">
        <v>69</v>
      </c>
      <c r="D35" t="s">
        <v>229</v>
      </c>
      <c r="E35" t="s">
        <v>107</v>
      </c>
      <c r="F35">
        <v>5</v>
      </c>
      <c r="G35">
        <v>294</v>
      </c>
      <c r="H35" s="2">
        <v>4.7256944444444442E-2</v>
      </c>
      <c r="I35">
        <v>108</v>
      </c>
      <c r="J35">
        <v>132</v>
      </c>
      <c r="K35">
        <v>1.8</v>
      </c>
      <c r="L35">
        <v>98</v>
      </c>
      <c r="M35">
        <v>160</v>
      </c>
      <c r="N35" s="3">
        <v>0.56666666666666665</v>
      </c>
      <c r="O35" s="3">
        <v>0.39374999999999999</v>
      </c>
      <c r="P35">
        <v>62</v>
      </c>
      <c r="Q35">
        <v>60</v>
      </c>
      <c r="R35">
        <v>0.75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s="4">
        <v>6864</v>
      </c>
      <c r="AE35" t="s">
        <v>41</v>
      </c>
      <c r="AF35" t="s">
        <v>41</v>
      </c>
      <c r="AG35">
        <v>-3</v>
      </c>
      <c r="AH35">
        <v>24</v>
      </c>
      <c r="AI35" t="s">
        <v>42</v>
      </c>
      <c r="AJ35" s="5">
        <v>3.8194444444444444E-5</v>
      </c>
      <c r="AK35">
        <v>6</v>
      </c>
      <c r="AL35">
        <v>27</v>
      </c>
      <c r="AM35" s="2">
        <v>4.5567129629629631E-2</v>
      </c>
      <c r="AN35" s="2">
        <v>4.7268518518518515E-2</v>
      </c>
      <c r="AO35">
        <v>204</v>
      </c>
      <c r="AP35">
        <v>218</v>
      </c>
    </row>
    <row r="36" spans="1:42" x14ac:dyDescent="0.25">
      <c r="A36" t="s">
        <v>104</v>
      </c>
      <c r="B36" s="1">
        <v>45958.693124999998</v>
      </c>
      <c r="C36" t="s">
        <v>70</v>
      </c>
      <c r="D36" t="s">
        <v>228</v>
      </c>
      <c r="E36" t="s">
        <v>107</v>
      </c>
      <c r="F36">
        <v>6.94</v>
      </c>
      <c r="G36" s="4">
        <v>1067</v>
      </c>
      <c r="H36" s="2">
        <v>0.14828703703703705</v>
      </c>
      <c r="I36">
        <v>142</v>
      </c>
      <c r="J36">
        <v>184</v>
      </c>
      <c r="K36">
        <v>4.8</v>
      </c>
      <c r="L36">
        <v>34</v>
      </c>
      <c r="M36">
        <v>160</v>
      </c>
      <c r="N36" s="6">
        <v>1.28125</v>
      </c>
      <c r="O36" s="3">
        <v>0.37569444444444444</v>
      </c>
      <c r="P36">
        <v>462</v>
      </c>
      <c r="Q36">
        <v>452</v>
      </c>
      <c r="R36">
        <v>1.1100000000000001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s="4">
        <v>12600</v>
      </c>
      <c r="AE36" t="s">
        <v>41</v>
      </c>
      <c r="AF36" t="s">
        <v>41</v>
      </c>
      <c r="AG36" t="s">
        <v>41</v>
      </c>
      <c r="AH36">
        <v>22</v>
      </c>
      <c r="AI36" t="s">
        <v>42</v>
      </c>
      <c r="AJ36" s="2">
        <v>1.375E-2</v>
      </c>
      <c r="AK36">
        <v>7</v>
      </c>
      <c r="AL36">
        <v>27</v>
      </c>
      <c r="AM36" s="2">
        <v>4.7546296296296295E-2</v>
      </c>
      <c r="AN36" s="2">
        <v>0.14828703703703705</v>
      </c>
      <c r="AO36">
        <v>315</v>
      </c>
      <c r="AP36">
        <v>719</v>
      </c>
    </row>
    <row r="37" spans="1:42" x14ac:dyDescent="0.25">
      <c r="A37" t="s">
        <v>104</v>
      </c>
      <c r="B37" s="1">
        <v>45958.560868055552</v>
      </c>
      <c r="C37" t="s">
        <v>70</v>
      </c>
      <c r="D37" t="s">
        <v>227</v>
      </c>
      <c r="E37" t="s">
        <v>107</v>
      </c>
      <c r="F37">
        <v>8.3800000000000008</v>
      </c>
      <c r="G37">
        <v>865</v>
      </c>
      <c r="H37" s="2">
        <v>0.12045138888888889</v>
      </c>
      <c r="I37">
        <v>130</v>
      </c>
      <c r="J37">
        <v>182</v>
      </c>
      <c r="K37">
        <v>3.6</v>
      </c>
      <c r="L37">
        <v>74</v>
      </c>
      <c r="M37">
        <v>245</v>
      </c>
      <c r="N37" s="3">
        <v>0.86250000000000004</v>
      </c>
      <c r="O37" s="3">
        <v>0.27291666666666664</v>
      </c>
      <c r="P37">
        <v>453</v>
      </c>
      <c r="Q37">
        <v>451</v>
      </c>
      <c r="R37">
        <v>0.66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>
        <v>0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s="4">
        <v>14694</v>
      </c>
      <c r="AE37" t="s">
        <v>41</v>
      </c>
      <c r="AF37" t="s">
        <v>41</v>
      </c>
      <c r="AG37" t="s">
        <v>41</v>
      </c>
      <c r="AH37">
        <v>20</v>
      </c>
      <c r="AI37" t="s">
        <v>42</v>
      </c>
      <c r="AJ37" s="5">
        <v>3.8854166666666664E-3</v>
      </c>
      <c r="AK37">
        <v>9</v>
      </c>
      <c r="AL37">
        <v>27</v>
      </c>
      <c r="AM37" s="2">
        <v>9.6481481481481488E-2</v>
      </c>
      <c r="AN37" s="2">
        <v>0.12045138888888889</v>
      </c>
      <c r="AO37">
        <v>523</v>
      </c>
      <c r="AP37">
        <v>957</v>
      </c>
    </row>
    <row r="38" spans="1:42" x14ac:dyDescent="0.25">
      <c r="A38" t="s">
        <v>104</v>
      </c>
      <c r="B38" s="1">
        <v>45953.636006944442</v>
      </c>
      <c r="C38" t="s">
        <v>71</v>
      </c>
      <c r="D38" t="s">
        <v>226</v>
      </c>
      <c r="E38" t="s">
        <v>107</v>
      </c>
      <c r="F38">
        <v>9.18</v>
      </c>
      <c r="G38">
        <v>749</v>
      </c>
      <c r="H38" s="2">
        <v>0.10188657407407407</v>
      </c>
      <c r="I38">
        <v>127</v>
      </c>
      <c r="J38">
        <v>173</v>
      </c>
      <c r="K38">
        <v>2.7</v>
      </c>
      <c r="L38">
        <v>90</v>
      </c>
      <c r="M38">
        <v>231</v>
      </c>
      <c r="N38" s="3">
        <v>0.66597222222222219</v>
      </c>
      <c r="O38" s="3">
        <v>0.27361111111111114</v>
      </c>
      <c r="P38">
        <v>387</v>
      </c>
      <c r="Q38">
        <v>386</v>
      </c>
      <c r="R38">
        <v>0.7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>
        <v>0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s="4">
        <v>14206</v>
      </c>
      <c r="AE38" t="s">
        <v>41</v>
      </c>
      <c r="AF38" t="s">
        <v>41</v>
      </c>
      <c r="AG38">
        <v>-13</v>
      </c>
      <c r="AH38">
        <v>25</v>
      </c>
      <c r="AI38" t="s">
        <v>42</v>
      </c>
      <c r="AJ38" s="5">
        <v>3.7384259259259259E-3</v>
      </c>
      <c r="AK38">
        <v>10</v>
      </c>
      <c r="AL38">
        <v>32</v>
      </c>
      <c r="AM38" s="2">
        <v>9.2696759259259257E-2</v>
      </c>
      <c r="AN38" s="2">
        <v>0.10188657407407407</v>
      </c>
      <c r="AO38">
        <v>308</v>
      </c>
      <c r="AP38">
        <v>386</v>
      </c>
    </row>
    <row r="39" spans="1:42" x14ac:dyDescent="0.25">
      <c r="A39" t="s">
        <v>104</v>
      </c>
      <c r="B39" s="1">
        <v>45952.407314814816</v>
      </c>
      <c r="C39" t="s">
        <v>72</v>
      </c>
      <c r="D39" t="s">
        <v>225</v>
      </c>
      <c r="E39" t="s">
        <v>107</v>
      </c>
      <c r="F39">
        <v>4.82</v>
      </c>
      <c r="G39">
        <v>723</v>
      </c>
      <c r="H39" s="2">
        <v>9.4861111111111104E-2</v>
      </c>
      <c r="I39">
        <v>135</v>
      </c>
      <c r="J39">
        <v>189</v>
      </c>
      <c r="K39">
        <v>4.7</v>
      </c>
      <c r="L39">
        <v>47</v>
      </c>
      <c r="M39">
        <v>158</v>
      </c>
      <c r="N39" s="6">
        <v>1.1791666666666667</v>
      </c>
      <c r="O39" s="3">
        <v>0.26319444444444445</v>
      </c>
      <c r="P39">
        <v>363</v>
      </c>
      <c r="Q39">
        <v>396</v>
      </c>
      <c r="R39">
        <v>0.82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>
        <v>0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s="4">
        <v>8900</v>
      </c>
      <c r="AE39" t="s">
        <v>41</v>
      </c>
      <c r="AF39" t="s">
        <v>41</v>
      </c>
      <c r="AG39">
        <v>-19</v>
      </c>
      <c r="AH39">
        <v>15</v>
      </c>
      <c r="AI39" t="s">
        <v>42</v>
      </c>
      <c r="AJ39" s="2">
        <v>1.1967592592592592E-2</v>
      </c>
      <c r="AK39">
        <v>5</v>
      </c>
      <c r="AL39">
        <v>27</v>
      </c>
      <c r="AM39" s="2">
        <v>4.3923611111111108E-2</v>
      </c>
      <c r="AN39" s="2">
        <v>9.4872685185185185E-2</v>
      </c>
      <c r="AO39">
        <v>361</v>
      </c>
      <c r="AP39">
        <v>734</v>
      </c>
    </row>
    <row r="40" spans="1:42" x14ac:dyDescent="0.25">
      <c r="A40" t="s">
        <v>104</v>
      </c>
      <c r="B40" s="1">
        <v>45944.317430555559</v>
      </c>
      <c r="C40" t="s">
        <v>73</v>
      </c>
      <c r="D40" t="s">
        <v>73</v>
      </c>
      <c r="E40" t="s">
        <v>107</v>
      </c>
      <c r="F40">
        <v>23.42</v>
      </c>
      <c r="G40" s="4">
        <v>5001</v>
      </c>
      <c r="H40" s="2">
        <v>0.56936342592592593</v>
      </c>
      <c r="I40">
        <v>154</v>
      </c>
      <c r="J40">
        <v>189</v>
      </c>
      <c r="K40">
        <v>5</v>
      </c>
      <c r="L40">
        <v>22</v>
      </c>
      <c r="M40">
        <v>187</v>
      </c>
      <c r="N40" s="6">
        <v>1.4590277777777778</v>
      </c>
      <c r="O40" s="3">
        <v>0.27152777777777776</v>
      </c>
      <c r="P40" s="4">
        <v>1199</v>
      </c>
      <c r="Q40" s="4">
        <v>1203</v>
      </c>
      <c r="R40">
        <v>1.52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>
        <v>0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s="4">
        <v>30876</v>
      </c>
      <c r="AE40" t="s">
        <v>41</v>
      </c>
      <c r="AF40" t="s">
        <v>41</v>
      </c>
      <c r="AG40">
        <v>-35</v>
      </c>
      <c r="AH40">
        <v>14</v>
      </c>
      <c r="AI40" t="s">
        <v>42</v>
      </c>
      <c r="AJ40" s="5">
        <v>1.5046296296296297E-5</v>
      </c>
      <c r="AK40">
        <v>26</v>
      </c>
      <c r="AL40">
        <v>32</v>
      </c>
      <c r="AM40" s="2">
        <v>0.16402777777777777</v>
      </c>
      <c r="AN40" s="2">
        <v>0.56945601851851857</v>
      </c>
      <c r="AO40">
        <v>382</v>
      </c>
      <c r="AP40">
        <v>889</v>
      </c>
    </row>
    <row r="41" spans="1:42" x14ac:dyDescent="0.25">
      <c r="A41" t="s">
        <v>40</v>
      </c>
      <c r="B41" s="1">
        <v>45863.644178240742</v>
      </c>
      <c r="C41" t="s">
        <v>65</v>
      </c>
      <c r="D41" t="s">
        <v>224</v>
      </c>
      <c r="E41" t="s">
        <v>107</v>
      </c>
      <c r="F41">
        <v>7.9</v>
      </c>
      <c r="G41">
        <v>617</v>
      </c>
      <c r="H41" s="2">
        <v>3.8379629629629632E-2</v>
      </c>
      <c r="I41">
        <v>181</v>
      </c>
      <c r="J41">
        <v>193</v>
      </c>
      <c r="K41">
        <v>5</v>
      </c>
      <c r="L41">
        <v>153</v>
      </c>
      <c r="M41">
        <v>172</v>
      </c>
      <c r="N41" s="3">
        <v>0.29166666666666669</v>
      </c>
      <c r="O41" s="3">
        <v>0.24791666666666667</v>
      </c>
      <c r="P41">
        <v>112</v>
      </c>
      <c r="Q41">
        <v>106</v>
      </c>
      <c r="R41">
        <v>0.93</v>
      </c>
      <c r="S41">
        <v>9.8000000000000007</v>
      </c>
      <c r="T41">
        <v>9.1</v>
      </c>
      <c r="U41">
        <v>292</v>
      </c>
      <c r="V41" s="3">
        <v>0.28472222222222221</v>
      </c>
      <c r="W41">
        <v>269</v>
      </c>
      <c r="X41">
        <v>0</v>
      </c>
      <c r="Y41">
        <v>256</v>
      </c>
      <c r="Z41">
        <v>398</v>
      </c>
      <c r="AA41" t="s">
        <v>41</v>
      </c>
      <c r="AB41" t="s">
        <v>41</v>
      </c>
      <c r="AC41" t="s">
        <v>41</v>
      </c>
      <c r="AD41" s="4">
        <v>8454</v>
      </c>
      <c r="AE41" t="s">
        <v>41</v>
      </c>
      <c r="AF41" t="s">
        <v>41</v>
      </c>
      <c r="AG41">
        <v>-23</v>
      </c>
      <c r="AH41">
        <v>19</v>
      </c>
      <c r="AI41" t="s">
        <v>42</v>
      </c>
      <c r="AJ41" s="5">
        <v>1.1689814814814815E-4</v>
      </c>
      <c r="AK41">
        <v>9</v>
      </c>
      <c r="AL41">
        <v>26</v>
      </c>
      <c r="AM41" s="2">
        <v>3.7592592592592594E-2</v>
      </c>
      <c r="AN41" s="2">
        <v>3.8379629629629632E-2</v>
      </c>
      <c r="AO41">
        <v>332</v>
      </c>
      <c r="AP41">
        <v>372</v>
      </c>
    </row>
    <row r="42" spans="1:42" x14ac:dyDescent="0.25">
      <c r="A42" t="s">
        <v>40</v>
      </c>
      <c r="B42" s="1">
        <v>45854.724178240744</v>
      </c>
      <c r="C42" t="s">
        <v>74</v>
      </c>
      <c r="D42" t="s">
        <v>223</v>
      </c>
      <c r="E42" t="s">
        <v>107</v>
      </c>
      <c r="F42">
        <v>4.05</v>
      </c>
      <c r="G42">
        <v>302</v>
      </c>
      <c r="H42" s="2">
        <v>2.0104166666666666E-2</v>
      </c>
      <c r="I42">
        <v>160</v>
      </c>
      <c r="J42">
        <v>188</v>
      </c>
      <c r="K42">
        <v>4.5999999999999996</v>
      </c>
      <c r="L42">
        <v>154</v>
      </c>
      <c r="M42">
        <v>167</v>
      </c>
      <c r="N42" s="3">
        <v>0.29722222222222222</v>
      </c>
      <c r="O42" s="3">
        <v>0.23680555555555555</v>
      </c>
      <c r="P42">
        <v>146</v>
      </c>
      <c r="Q42">
        <v>148</v>
      </c>
      <c r="R42">
        <v>0.91</v>
      </c>
      <c r="S42">
        <v>9.8000000000000007</v>
      </c>
      <c r="T42">
        <v>8.8000000000000007</v>
      </c>
      <c r="U42">
        <v>295</v>
      </c>
      <c r="V42" s="3">
        <v>0.27013888888888887</v>
      </c>
      <c r="W42">
        <v>290</v>
      </c>
      <c r="X42">
        <v>0</v>
      </c>
      <c r="Y42">
        <v>266</v>
      </c>
      <c r="Z42">
        <v>416</v>
      </c>
      <c r="AA42" t="s">
        <v>41</v>
      </c>
      <c r="AB42" t="s">
        <v>41</v>
      </c>
      <c r="AC42" t="s">
        <v>41</v>
      </c>
      <c r="AD42" s="4">
        <v>4426</v>
      </c>
      <c r="AE42" t="s">
        <v>41</v>
      </c>
      <c r="AF42" t="s">
        <v>41</v>
      </c>
      <c r="AG42">
        <v>-12</v>
      </c>
      <c r="AH42">
        <v>12</v>
      </c>
      <c r="AI42" t="s">
        <v>42</v>
      </c>
      <c r="AJ42" s="5">
        <v>2.9166666666666664E-4</v>
      </c>
      <c r="AK42">
        <v>5</v>
      </c>
      <c r="AL42">
        <v>22</v>
      </c>
      <c r="AM42" s="2">
        <v>2.0081018518518519E-2</v>
      </c>
      <c r="AN42" s="2">
        <v>2.0462962962962964E-2</v>
      </c>
      <c r="AO42">
        <v>388</v>
      </c>
      <c r="AP42">
        <v>464</v>
      </c>
    </row>
    <row r="43" spans="1:42" x14ac:dyDescent="0.25">
      <c r="A43" t="s">
        <v>40</v>
      </c>
      <c r="B43" s="1">
        <v>45852.745995370373</v>
      </c>
      <c r="C43" t="s">
        <v>75</v>
      </c>
      <c r="D43" t="s">
        <v>223</v>
      </c>
      <c r="E43" t="s">
        <v>107</v>
      </c>
      <c r="F43">
        <v>0</v>
      </c>
      <c r="G43">
        <v>94</v>
      </c>
      <c r="H43" s="2">
        <v>1.0127314814814815E-2</v>
      </c>
      <c r="I43">
        <v>120</v>
      </c>
      <c r="J43">
        <v>199</v>
      </c>
      <c r="K43">
        <v>2.2000000000000002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>
        <v>0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>
        <v>4</v>
      </c>
      <c r="AE43">
        <v>2</v>
      </c>
      <c r="AF43">
        <v>1</v>
      </c>
      <c r="AG43">
        <v>-2</v>
      </c>
      <c r="AH43">
        <v>24</v>
      </c>
      <c r="AI43" t="s">
        <v>42</v>
      </c>
      <c r="AJ43" s="2">
        <v>1.0127314814814815E-2</v>
      </c>
      <c r="AK43">
        <v>1</v>
      </c>
      <c r="AL43">
        <v>26</v>
      </c>
      <c r="AM43" s="2">
        <v>1.0127314814814815E-2</v>
      </c>
      <c r="AN43" s="2">
        <v>1.0127314814814815E-2</v>
      </c>
      <c r="AO43" t="s">
        <v>41</v>
      </c>
      <c r="AP43" t="s">
        <v>41</v>
      </c>
    </row>
    <row r="44" spans="1:42" x14ac:dyDescent="0.25">
      <c r="A44" t="s">
        <v>40</v>
      </c>
      <c r="B44" s="1">
        <v>45851.679525462961</v>
      </c>
      <c r="C44" t="s">
        <v>74</v>
      </c>
      <c r="D44" t="s">
        <v>223</v>
      </c>
      <c r="E44" t="s">
        <v>107</v>
      </c>
      <c r="F44">
        <v>3.92</v>
      </c>
      <c r="G44">
        <v>301</v>
      </c>
      <c r="H44" s="2">
        <v>2.0520833333333332E-2</v>
      </c>
      <c r="I44">
        <v>160</v>
      </c>
      <c r="J44">
        <v>193</v>
      </c>
      <c r="K44">
        <v>4.7</v>
      </c>
      <c r="L44">
        <v>150</v>
      </c>
      <c r="M44">
        <v>167</v>
      </c>
      <c r="N44" s="3">
        <v>0.31388888888888888</v>
      </c>
      <c r="O44" s="3">
        <v>0.25694444444444442</v>
      </c>
      <c r="P44">
        <v>142</v>
      </c>
      <c r="Q44">
        <v>135</v>
      </c>
      <c r="R44">
        <v>0.88</v>
      </c>
      <c r="S44">
        <v>9.8000000000000007</v>
      </c>
      <c r="T44">
        <v>8.6</v>
      </c>
      <c r="U44">
        <v>298</v>
      </c>
      <c r="V44" s="3">
        <v>0.28611111111111109</v>
      </c>
      <c r="W44">
        <v>283</v>
      </c>
      <c r="X44">
        <v>0</v>
      </c>
      <c r="Y44">
        <v>253</v>
      </c>
      <c r="Z44">
        <v>417</v>
      </c>
      <c r="AA44" t="s">
        <v>41</v>
      </c>
      <c r="AB44" t="s">
        <v>41</v>
      </c>
      <c r="AC44" t="s">
        <v>41</v>
      </c>
      <c r="AD44" s="4">
        <v>4452</v>
      </c>
      <c r="AE44" t="s">
        <v>41</v>
      </c>
      <c r="AF44" t="s">
        <v>41</v>
      </c>
      <c r="AG44">
        <v>-11</v>
      </c>
      <c r="AH44">
        <v>19</v>
      </c>
      <c r="AI44" t="s">
        <v>42</v>
      </c>
      <c r="AJ44" s="5">
        <v>4.6990740740740743E-3</v>
      </c>
      <c r="AK44">
        <v>4</v>
      </c>
      <c r="AL44">
        <v>29</v>
      </c>
      <c r="AM44" s="2">
        <v>2.0497685185185185E-2</v>
      </c>
      <c r="AN44" s="2">
        <v>2.060185185185185E-2</v>
      </c>
      <c r="AO44">
        <v>373</v>
      </c>
      <c r="AP44">
        <v>467</v>
      </c>
    </row>
    <row r="45" spans="1:42" x14ac:dyDescent="0.25">
      <c r="A45" t="s">
        <v>40</v>
      </c>
      <c r="B45" s="1">
        <v>45843.681030092594</v>
      </c>
      <c r="C45" t="s">
        <v>74</v>
      </c>
      <c r="D45" t="s">
        <v>223</v>
      </c>
      <c r="E45" t="s">
        <v>107</v>
      </c>
      <c r="F45">
        <v>3.54</v>
      </c>
      <c r="G45">
        <v>268</v>
      </c>
      <c r="H45" s="2">
        <v>1.9918981481481482E-2</v>
      </c>
      <c r="I45">
        <v>159</v>
      </c>
      <c r="J45">
        <v>191</v>
      </c>
      <c r="K45">
        <v>4.4000000000000004</v>
      </c>
      <c r="L45">
        <v>143</v>
      </c>
      <c r="M45">
        <v>161</v>
      </c>
      <c r="N45" s="3">
        <v>0.33750000000000002</v>
      </c>
      <c r="O45" s="3">
        <v>0.2638888888888889</v>
      </c>
      <c r="P45">
        <v>122</v>
      </c>
      <c r="Q45">
        <v>113</v>
      </c>
      <c r="R45">
        <v>0.87</v>
      </c>
      <c r="S45">
        <v>9.6999999999999993</v>
      </c>
      <c r="T45">
        <v>8.3000000000000007</v>
      </c>
      <c r="U45">
        <v>302</v>
      </c>
      <c r="V45" s="3">
        <v>0.30902777777777779</v>
      </c>
      <c r="W45">
        <v>265</v>
      </c>
      <c r="X45">
        <v>0</v>
      </c>
      <c r="Y45">
        <v>230</v>
      </c>
      <c r="Z45">
        <v>385</v>
      </c>
      <c r="AA45" t="s">
        <v>41</v>
      </c>
      <c r="AB45" t="s">
        <v>41</v>
      </c>
      <c r="AC45" t="s">
        <v>41</v>
      </c>
      <c r="AD45" s="4">
        <v>4102</v>
      </c>
      <c r="AE45" t="s">
        <v>41</v>
      </c>
      <c r="AF45" t="s">
        <v>41</v>
      </c>
      <c r="AG45">
        <v>-11</v>
      </c>
      <c r="AH45">
        <v>12</v>
      </c>
      <c r="AI45" t="s">
        <v>42</v>
      </c>
      <c r="AJ45" s="5">
        <v>4.1631944444444442E-3</v>
      </c>
      <c r="AK45">
        <v>4</v>
      </c>
      <c r="AL45">
        <v>24</v>
      </c>
      <c r="AM45" s="2">
        <v>1.9756944444444445E-2</v>
      </c>
      <c r="AN45" s="2">
        <v>2.0370370370370372E-2</v>
      </c>
      <c r="AO45">
        <v>389</v>
      </c>
      <c r="AP45">
        <v>468</v>
      </c>
    </row>
    <row r="46" spans="1:42" x14ac:dyDescent="0.25">
      <c r="A46" t="s">
        <v>104</v>
      </c>
      <c r="B46" s="1">
        <v>45823.582245370373</v>
      </c>
      <c r="C46" t="s">
        <v>64</v>
      </c>
      <c r="D46" t="s">
        <v>222</v>
      </c>
      <c r="E46" t="s">
        <v>107</v>
      </c>
      <c r="F46">
        <v>5.15</v>
      </c>
      <c r="G46">
        <v>469</v>
      </c>
      <c r="H46" s="2">
        <v>5.4583333333333331E-2</v>
      </c>
      <c r="I46">
        <v>129</v>
      </c>
      <c r="J46">
        <v>178</v>
      </c>
      <c r="K46">
        <v>3.5</v>
      </c>
      <c r="L46">
        <v>91</v>
      </c>
      <c r="M46">
        <v>239</v>
      </c>
      <c r="N46" s="3">
        <v>0.63611111111111107</v>
      </c>
      <c r="O46" s="3">
        <v>0.21875</v>
      </c>
      <c r="P46">
        <v>434</v>
      </c>
      <c r="Q46">
        <v>421</v>
      </c>
      <c r="R46">
        <v>0.72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>
        <v>0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s="4">
        <v>7590</v>
      </c>
      <c r="AE46" t="s">
        <v>41</v>
      </c>
      <c r="AF46" t="s">
        <v>41</v>
      </c>
      <c r="AG46">
        <v>-15</v>
      </c>
      <c r="AH46">
        <v>17</v>
      </c>
      <c r="AI46" t="s">
        <v>42</v>
      </c>
      <c r="AJ46" s="5">
        <v>1.8784722222222223E-3</v>
      </c>
      <c r="AK46">
        <v>6</v>
      </c>
      <c r="AL46">
        <v>30</v>
      </c>
      <c r="AM46" s="2">
        <v>4.8865740740740737E-2</v>
      </c>
      <c r="AN46" s="2">
        <v>6.8437499999999998E-2</v>
      </c>
      <c r="AO46">
        <v>424</v>
      </c>
      <c r="AP46">
        <v>850</v>
      </c>
    </row>
    <row r="47" spans="1:42" x14ac:dyDescent="0.25">
      <c r="A47" t="s">
        <v>104</v>
      </c>
      <c r="B47" s="1">
        <v>45821.753298611111</v>
      </c>
      <c r="C47" t="s">
        <v>64</v>
      </c>
      <c r="D47" t="s">
        <v>221</v>
      </c>
      <c r="E47" t="s">
        <v>107</v>
      </c>
      <c r="F47">
        <v>2.3199999999999998</v>
      </c>
      <c r="G47">
        <v>144</v>
      </c>
      <c r="H47" s="2">
        <v>2.0925925925925924E-2</v>
      </c>
      <c r="I47">
        <v>97</v>
      </c>
      <c r="J47">
        <v>133</v>
      </c>
      <c r="K47">
        <v>1.4</v>
      </c>
      <c r="L47">
        <v>99</v>
      </c>
      <c r="M47">
        <v>244</v>
      </c>
      <c r="N47" s="3">
        <v>0.54097222222222219</v>
      </c>
      <c r="O47" s="3">
        <v>0.31805555555555554</v>
      </c>
      <c r="P47">
        <v>23</v>
      </c>
      <c r="Q47">
        <v>29</v>
      </c>
      <c r="R47">
        <v>0.78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>
        <v>0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s="4">
        <v>3038</v>
      </c>
      <c r="AE47" t="s">
        <v>41</v>
      </c>
      <c r="AF47" t="s">
        <v>41</v>
      </c>
      <c r="AG47">
        <v>-2</v>
      </c>
      <c r="AH47">
        <v>21</v>
      </c>
      <c r="AI47" t="s">
        <v>42</v>
      </c>
      <c r="AJ47" s="5">
        <v>2.6261574074074073E-3</v>
      </c>
      <c r="AK47">
        <v>3</v>
      </c>
      <c r="AL47">
        <v>24</v>
      </c>
      <c r="AM47" s="2">
        <v>1.9363425925925926E-2</v>
      </c>
      <c r="AN47" s="2">
        <v>2.4548611111111111E-2</v>
      </c>
      <c r="AO47">
        <v>227</v>
      </c>
      <c r="AP47">
        <v>245</v>
      </c>
    </row>
    <row r="48" spans="1:42" x14ac:dyDescent="0.25">
      <c r="A48" t="s">
        <v>104</v>
      </c>
      <c r="B48" s="1">
        <v>45805.414699074077</v>
      </c>
      <c r="C48" t="s">
        <v>76</v>
      </c>
      <c r="D48" t="s">
        <v>76</v>
      </c>
      <c r="E48" t="s">
        <v>107</v>
      </c>
      <c r="F48">
        <v>8.86</v>
      </c>
      <c r="G48">
        <v>630</v>
      </c>
      <c r="H48" s="2">
        <v>8.2245370370370371E-2</v>
      </c>
      <c r="I48">
        <v>126</v>
      </c>
      <c r="J48">
        <v>161</v>
      </c>
      <c r="K48">
        <v>2.6</v>
      </c>
      <c r="L48">
        <v>94</v>
      </c>
      <c r="M48">
        <v>231</v>
      </c>
      <c r="N48" s="3">
        <v>0.55694444444444446</v>
      </c>
      <c r="O48" s="3">
        <v>0.30625000000000002</v>
      </c>
      <c r="P48">
        <v>305</v>
      </c>
      <c r="Q48">
        <v>301</v>
      </c>
      <c r="R48">
        <v>0.8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>
        <v>0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s="4">
        <v>11996</v>
      </c>
      <c r="AE48" t="s">
        <v>41</v>
      </c>
      <c r="AF48" t="s">
        <v>41</v>
      </c>
      <c r="AG48">
        <v>-16</v>
      </c>
      <c r="AH48">
        <v>20</v>
      </c>
      <c r="AI48" t="s">
        <v>42</v>
      </c>
      <c r="AJ48" s="2">
        <v>7.3148148148148148E-3</v>
      </c>
      <c r="AK48">
        <v>9</v>
      </c>
      <c r="AL48">
        <v>27</v>
      </c>
      <c r="AM48" s="2">
        <v>7.5370370370370365E-2</v>
      </c>
      <c r="AN48" s="2">
        <v>9.2164351851851858E-2</v>
      </c>
      <c r="AO48">
        <v>14</v>
      </c>
      <c r="AP48">
        <v>171</v>
      </c>
    </row>
    <row r="49" spans="1:42" x14ac:dyDescent="0.25">
      <c r="A49" t="s">
        <v>104</v>
      </c>
      <c r="B49" s="1">
        <v>45802.55027777778</v>
      </c>
      <c r="C49" t="s">
        <v>77</v>
      </c>
      <c r="D49" t="s">
        <v>220</v>
      </c>
      <c r="E49" t="s">
        <v>106</v>
      </c>
      <c r="F49">
        <v>4.95</v>
      </c>
      <c r="G49">
        <v>283</v>
      </c>
      <c r="H49" s="2">
        <v>4.5682870370370374E-2</v>
      </c>
      <c r="I49">
        <v>86</v>
      </c>
      <c r="J49">
        <v>102</v>
      </c>
      <c r="K49">
        <v>1</v>
      </c>
      <c r="L49">
        <v>97</v>
      </c>
      <c r="M49">
        <v>158</v>
      </c>
      <c r="N49" s="3">
        <v>0.5541666666666667</v>
      </c>
      <c r="O49" s="3">
        <v>0.39374999999999999</v>
      </c>
      <c r="P49">
        <v>117</v>
      </c>
      <c r="Q49">
        <v>121</v>
      </c>
      <c r="R49">
        <v>0.77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>
        <v>0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s="4">
        <v>6618</v>
      </c>
      <c r="AE49" t="s">
        <v>41</v>
      </c>
      <c r="AF49" t="s">
        <v>41</v>
      </c>
      <c r="AG49">
        <v>-7</v>
      </c>
      <c r="AH49">
        <v>22</v>
      </c>
      <c r="AI49" t="s">
        <v>42</v>
      </c>
      <c r="AJ49" s="2">
        <v>8.3912037037037045E-3</v>
      </c>
      <c r="AK49">
        <v>5</v>
      </c>
      <c r="AL49">
        <v>27</v>
      </c>
      <c r="AM49" s="2">
        <v>4.2870370370370371E-2</v>
      </c>
      <c r="AN49" s="2">
        <v>6.4166666666666664E-2</v>
      </c>
      <c r="AO49">
        <v>-2</v>
      </c>
      <c r="AP49">
        <v>13</v>
      </c>
    </row>
    <row r="50" spans="1:42" x14ac:dyDescent="0.25">
      <c r="A50" t="s">
        <v>104</v>
      </c>
      <c r="B50" s="1">
        <v>45801.408842592595</v>
      </c>
      <c r="C50" t="s">
        <v>77</v>
      </c>
      <c r="D50" t="s">
        <v>219</v>
      </c>
      <c r="E50" t="s">
        <v>106</v>
      </c>
      <c r="F50">
        <v>6.03</v>
      </c>
      <c r="G50">
        <v>416</v>
      </c>
      <c r="H50" s="2">
        <v>5.6828703703703701E-2</v>
      </c>
      <c r="I50">
        <v>117</v>
      </c>
      <c r="J50">
        <v>164</v>
      </c>
      <c r="K50">
        <v>2.2000000000000002</v>
      </c>
      <c r="L50">
        <v>94</v>
      </c>
      <c r="M50">
        <v>222</v>
      </c>
      <c r="N50" s="3">
        <v>0.56527777777777777</v>
      </c>
      <c r="O50" s="3">
        <v>0.2298611111111111</v>
      </c>
      <c r="P50">
        <v>322</v>
      </c>
      <c r="Q50">
        <v>331</v>
      </c>
      <c r="R50">
        <v>0.78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>
        <v>0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s="4">
        <v>8114</v>
      </c>
      <c r="AE50" t="s">
        <v>41</v>
      </c>
      <c r="AF50" t="s">
        <v>41</v>
      </c>
      <c r="AG50">
        <v>-15</v>
      </c>
      <c r="AH50">
        <v>20</v>
      </c>
      <c r="AI50" t="s">
        <v>42</v>
      </c>
      <c r="AJ50" s="5">
        <v>2.6851851851851852E-4</v>
      </c>
      <c r="AK50">
        <v>7</v>
      </c>
      <c r="AL50">
        <v>27</v>
      </c>
      <c r="AM50" s="2">
        <v>5.2962962962962962E-2</v>
      </c>
      <c r="AN50" s="2">
        <v>6.4328703703703707E-2</v>
      </c>
      <c r="AO50">
        <v>210</v>
      </c>
      <c r="AP50">
        <v>429</v>
      </c>
    </row>
    <row r="51" spans="1:42" x14ac:dyDescent="0.25">
      <c r="A51" t="s">
        <v>104</v>
      </c>
      <c r="B51" s="1">
        <v>45798.396678240744</v>
      </c>
      <c r="C51" t="s">
        <v>77</v>
      </c>
      <c r="D51" t="s">
        <v>218</v>
      </c>
      <c r="E51" t="s">
        <v>106</v>
      </c>
      <c r="F51">
        <v>9.4700000000000006</v>
      </c>
      <c r="G51">
        <v>487</v>
      </c>
      <c r="H51" s="2">
        <v>0.16685185185185186</v>
      </c>
      <c r="I51">
        <v>79</v>
      </c>
      <c r="J51">
        <v>132</v>
      </c>
      <c r="K51">
        <v>0.4</v>
      </c>
      <c r="L51">
        <v>53</v>
      </c>
      <c r="M51">
        <v>231</v>
      </c>
      <c r="N51" s="6">
        <v>1.0569444444444445</v>
      </c>
      <c r="O51" s="3">
        <v>0.3576388888888889</v>
      </c>
      <c r="P51">
        <v>433</v>
      </c>
      <c r="Q51">
        <v>487</v>
      </c>
      <c r="R51">
        <v>0.75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>
        <v>0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s="4">
        <v>14526</v>
      </c>
      <c r="AE51" t="s">
        <v>41</v>
      </c>
      <c r="AF51" t="s">
        <v>41</v>
      </c>
      <c r="AG51">
        <v>-16</v>
      </c>
      <c r="AH51">
        <v>25</v>
      </c>
      <c r="AI51" t="s">
        <v>42</v>
      </c>
      <c r="AJ51" s="2">
        <v>1.1319444444444444E-2</v>
      </c>
      <c r="AK51">
        <v>10</v>
      </c>
      <c r="AL51">
        <v>33</v>
      </c>
      <c r="AM51" s="2">
        <v>9.7546296296296298E-2</v>
      </c>
      <c r="AN51" s="2">
        <v>0.16685185185185186</v>
      </c>
      <c r="AO51">
        <v>6</v>
      </c>
      <c r="AP51">
        <v>213</v>
      </c>
    </row>
    <row r="52" spans="1:42" x14ac:dyDescent="0.25">
      <c r="A52" t="s">
        <v>104</v>
      </c>
      <c r="B52" s="1">
        <v>45797.326562499999</v>
      </c>
      <c r="C52" t="s">
        <v>78</v>
      </c>
      <c r="D52" t="s">
        <v>78</v>
      </c>
      <c r="E52" t="s">
        <v>106</v>
      </c>
      <c r="F52">
        <v>4.68</v>
      </c>
      <c r="G52">
        <v>286</v>
      </c>
      <c r="H52" s="2">
        <v>5.1701388888888887E-2</v>
      </c>
      <c r="I52">
        <v>84</v>
      </c>
      <c r="J52">
        <v>110</v>
      </c>
      <c r="K52">
        <v>0.7</v>
      </c>
      <c r="L52">
        <v>86</v>
      </c>
      <c r="M52">
        <v>160</v>
      </c>
      <c r="N52" s="3">
        <v>0.66319444444444442</v>
      </c>
      <c r="O52" s="3">
        <v>0.41805555555555557</v>
      </c>
      <c r="P52">
        <v>163</v>
      </c>
      <c r="Q52">
        <v>153</v>
      </c>
      <c r="R52">
        <v>0.73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>
        <v>0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s="4">
        <v>6364</v>
      </c>
      <c r="AE52" t="s">
        <v>41</v>
      </c>
      <c r="AF52" t="s">
        <v>41</v>
      </c>
      <c r="AG52">
        <v>-11</v>
      </c>
      <c r="AH52">
        <v>21</v>
      </c>
      <c r="AI52" t="s">
        <v>42</v>
      </c>
      <c r="AJ52" s="2">
        <v>7.8356481481481489E-3</v>
      </c>
      <c r="AK52">
        <v>5</v>
      </c>
      <c r="AL52">
        <v>25</v>
      </c>
      <c r="AM52" s="2">
        <v>4.5358796296296293E-2</v>
      </c>
      <c r="AN52" s="2">
        <v>5.1701388888888887E-2</v>
      </c>
      <c r="AO52">
        <v>46</v>
      </c>
      <c r="AP52">
        <v>194</v>
      </c>
    </row>
    <row r="53" spans="1:42" x14ac:dyDescent="0.25">
      <c r="A53" t="s">
        <v>104</v>
      </c>
      <c r="B53" s="1">
        <v>45791.32885416667</v>
      </c>
      <c r="C53" t="s">
        <v>79</v>
      </c>
      <c r="D53" t="s">
        <v>79</v>
      </c>
      <c r="E53" t="s">
        <v>106</v>
      </c>
      <c r="F53">
        <v>20.54</v>
      </c>
      <c r="G53" s="4">
        <v>1969</v>
      </c>
      <c r="H53" s="2">
        <v>0.26577546296296295</v>
      </c>
      <c r="I53">
        <v>137</v>
      </c>
      <c r="J53">
        <v>186</v>
      </c>
      <c r="K53">
        <v>4.0999999999999996</v>
      </c>
      <c r="L53">
        <v>36</v>
      </c>
      <c r="M53">
        <v>228</v>
      </c>
      <c r="N53" s="3">
        <v>0.77708333333333335</v>
      </c>
      <c r="O53" s="3">
        <v>0.31388888888888888</v>
      </c>
      <c r="P53">
        <v>925</v>
      </c>
      <c r="Q53" s="4">
        <v>1277</v>
      </c>
      <c r="R53">
        <v>2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>
        <v>0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s="4">
        <v>21774</v>
      </c>
      <c r="AE53" t="s">
        <v>41</v>
      </c>
      <c r="AF53" t="s">
        <v>41</v>
      </c>
      <c r="AG53">
        <v>-40</v>
      </c>
      <c r="AH53">
        <v>21</v>
      </c>
      <c r="AI53" t="s">
        <v>42</v>
      </c>
      <c r="AJ53" s="5">
        <v>5.9317129629629633E-3</v>
      </c>
      <c r="AK53">
        <v>21</v>
      </c>
      <c r="AL53">
        <v>31</v>
      </c>
      <c r="AM53" s="2">
        <v>0.19706018518518517</v>
      </c>
      <c r="AN53" s="2">
        <v>0.26577546296296295</v>
      </c>
      <c r="AO53">
        <v>765</v>
      </c>
      <c r="AP53" s="4">
        <v>1884</v>
      </c>
    </row>
    <row r="54" spans="1:42" x14ac:dyDescent="0.25">
      <c r="A54" t="s">
        <v>104</v>
      </c>
      <c r="B54" s="1">
        <v>45790.438611111109</v>
      </c>
      <c r="C54" t="s">
        <v>80</v>
      </c>
      <c r="D54" t="s">
        <v>217</v>
      </c>
      <c r="E54" t="s">
        <v>106</v>
      </c>
      <c r="F54">
        <v>6.12</v>
      </c>
      <c r="G54">
        <v>714</v>
      </c>
      <c r="H54" s="2">
        <v>7.9722222222222222E-2</v>
      </c>
      <c r="I54">
        <v>145</v>
      </c>
      <c r="J54">
        <v>184</v>
      </c>
      <c r="K54">
        <v>4</v>
      </c>
      <c r="L54">
        <v>66</v>
      </c>
      <c r="M54">
        <v>240</v>
      </c>
      <c r="N54" s="3">
        <v>0.78125</v>
      </c>
      <c r="O54" s="3">
        <v>0.25833333333333336</v>
      </c>
      <c r="P54">
        <v>543</v>
      </c>
      <c r="Q54">
        <v>536</v>
      </c>
      <c r="R54">
        <v>0.82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>
        <v>0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s="4">
        <v>9986</v>
      </c>
      <c r="AE54" t="s">
        <v>41</v>
      </c>
      <c r="AF54" t="s">
        <v>41</v>
      </c>
      <c r="AG54">
        <v>-16</v>
      </c>
      <c r="AH54">
        <v>16</v>
      </c>
      <c r="AI54" t="s">
        <v>42</v>
      </c>
      <c r="AJ54" s="5">
        <v>5.2175925925925931E-3</v>
      </c>
      <c r="AK54">
        <v>7</v>
      </c>
      <c r="AL54">
        <v>28</v>
      </c>
      <c r="AM54" s="2">
        <v>6.2569444444444441E-2</v>
      </c>
      <c r="AN54" s="2">
        <v>8.666666666666667E-2</v>
      </c>
      <c r="AO54">
        <v>549</v>
      </c>
      <c r="AP54" s="4">
        <v>1092</v>
      </c>
    </row>
    <row r="55" spans="1:42" x14ac:dyDescent="0.25">
      <c r="A55" t="s">
        <v>104</v>
      </c>
      <c r="B55" s="1">
        <v>45789.710636574076</v>
      </c>
      <c r="C55" t="s">
        <v>81</v>
      </c>
      <c r="D55" t="s">
        <v>81</v>
      </c>
      <c r="E55" t="s">
        <v>106</v>
      </c>
      <c r="F55">
        <v>1</v>
      </c>
      <c r="G55">
        <v>87</v>
      </c>
      <c r="H55" s="2">
        <v>1.1319444444444444E-2</v>
      </c>
      <c r="I55">
        <v>115</v>
      </c>
      <c r="J55">
        <v>157</v>
      </c>
      <c r="K55">
        <v>1</v>
      </c>
      <c r="L55">
        <v>77</v>
      </c>
      <c r="M55">
        <v>158</v>
      </c>
      <c r="N55" s="3">
        <v>0.67638888888888893</v>
      </c>
      <c r="O55" s="3">
        <v>0.33402777777777776</v>
      </c>
      <c r="P55">
        <v>48</v>
      </c>
      <c r="Q55">
        <v>9</v>
      </c>
      <c r="R55">
        <v>0.8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>
        <v>0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s="4">
        <v>1382</v>
      </c>
      <c r="AE55" t="s">
        <v>41</v>
      </c>
      <c r="AF55" t="s">
        <v>41</v>
      </c>
      <c r="AG55">
        <v>-2</v>
      </c>
      <c r="AH55">
        <v>21</v>
      </c>
      <c r="AI55" t="s">
        <v>42</v>
      </c>
      <c r="AJ55" s="5">
        <v>7.1759259259259259E-5</v>
      </c>
      <c r="AK55">
        <v>2</v>
      </c>
      <c r="AL55">
        <v>27</v>
      </c>
      <c r="AM55" s="2">
        <v>9.0277777777777769E-3</v>
      </c>
      <c r="AN55" s="2">
        <v>1.1319444444444444E-2</v>
      </c>
      <c r="AO55">
        <v>354</v>
      </c>
      <c r="AP55">
        <v>394</v>
      </c>
    </row>
    <row r="56" spans="1:42" x14ac:dyDescent="0.25">
      <c r="A56" t="s">
        <v>104</v>
      </c>
      <c r="B56" s="1">
        <v>45789.437916666669</v>
      </c>
      <c r="C56" t="s">
        <v>82</v>
      </c>
      <c r="D56" t="s">
        <v>216</v>
      </c>
      <c r="E56" t="s">
        <v>106</v>
      </c>
      <c r="F56">
        <v>5.8</v>
      </c>
      <c r="G56">
        <v>402</v>
      </c>
      <c r="H56" s="2">
        <v>5.4722222222222221E-2</v>
      </c>
      <c r="I56">
        <v>118</v>
      </c>
      <c r="J56">
        <v>156</v>
      </c>
      <c r="K56">
        <v>2.1</v>
      </c>
      <c r="L56">
        <v>90</v>
      </c>
      <c r="M56">
        <v>219</v>
      </c>
      <c r="N56" s="3">
        <v>0.56597222222222221</v>
      </c>
      <c r="O56" s="3">
        <v>0.24652777777777779</v>
      </c>
      <c r="P56">
        <v>181</v>
      </c>
      <c r="Q56">
        <v>184</v>
      </c>
      <c r="R56">
        <v>0.83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>
        <v>0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s="4">
        <v>7334</v>
      </c>
      <c r="AE56" t="s">
        <v>41</v>
      </c>
      <c r="AF56" t="s">
        <v>41</v>
      </c>
      <c r="AG56">
        <v>-11</v>
      </c>
      <c r="AH56">
        <v>19</v>
      </c>
      <c r="AI56" t="s">
        <v>42</v>
      </c>
      <c r="AJ56" s="2">
        <v>7.8009259259259256E-3</v>
      </c>
      <c r="AK56">
        <v>6</v>
      </c>
      <c r="AL56">
        <v>28</v>
      </c>
      <c r="AM56" s="2">
        <v>4.6203703703703705E-2</v>
      </c>
      <c r="AN56" s="2">
        <v>6.1053240740740741E-2</v>
      </c>
      <c r="AO56">
        <v>344</v>
      </c>
      <c r="AP56">
        <v>393</v>
      </c>
    </row>
    <row r="57" spans="1:42" x14ac:dyDescent="0.25">
      <c r="A57" t="s">
        <v>104</v>
      </c>
      <c r="B57" s="1">
        <v>45788.560335648152</v>
      </c>
      <c r="C57" t="s">
        <v>83</v>
      </c>
      <c r="D57" t="s">
        <v>83</v>
      </c>
      <c r="E57" t="s">
        <v>106</v>
      </c>
      <c r="F57">
        <v>6.2</v>
      </c>
      <c r="G57">
        <v>513</v>
      </c>
      <c r="H57" s="2">
        <v>6.5578703703703708E-2</v>
      </c>
      <c r="I57">
        <v>127</v>
      </c>
      <c r="J57">
        <v>176</v>
      </c>
      <c r="K57">
        <v>2.8</v>
      </c>
      <c r="L57">
        <v>83</v>
      </c>
      <c r="M57">
        <v>243</v>
      </c>
      <c r="N57" s="3">
        <v>0.63472222222222219</v>
      </c>
      <c r="O57" s="3">
        <v>0.25833333333333336</v>
      </c>
      <c r="P57">
        <v>375</v>
      </c>
      <c r="Q57">
        <v>345</v>
      </c>
      <c r="R57">
        <v>0.79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>
        <v>0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s="4">
        <v>8878</v>
      </c>
      <c r="AE57" t="s">
        <v>41</v>
      </c>
      <c r="AF57" t="s">
        <v>41</v>
      </c>
      <c r="AG57">
        <v>-9</v>
      </c>
      <c r="AH57">
        <v>18</v>
      </c>
      <c r="AI57" t="s">
        <v>42</v>
      </c>
      <c r="AJ57" s="5">
        <v>3.9305555555555561E-3</v>
      </c>
      <c r="AK57">
        <v>7</v>
      </c>
      <c r="AL57">
        <v>29</v>
      </c>
      <c r="AM57" s="2">
        <v>5.7141203703703701E-2</v>
      </c>
      <c r="AN57" s="2">
        <v>7.0000000000000007E-2</v>
      </c>
      <c r="AO57">
        <v>407</v>
      </c>
      <c r="AP57">
        <v>734</v>
      </c>
    </row>
    <row r="58" spans="1:42" x14ac:dyDescent="0.25">
      <c r="A58" t="s">
        <v>40</v>
      </c>
      <c r="B58" s="1">
        <v>45787.686099537037</v>
      </c>
      <c r="C58" t="s">
        <v>84</v>
      </c>
      <c r="D58" t="s">
        <v>215</v>
      </c>
      <c r="E58" t="s">
        <v>106</v>
      </c>
      <c r="F58">
        <v>4.87</v>
      </c>
      <c r="G58">
        <v>344</v>
      </c>
      <c r="H58" s="2">
        <v>2.4247685185185185E-2</v>
      </c>
      <c r="I58">
        <v>165</v>
      </c>
      <c r="J58">
        <v>180</v>
      </c>
      <c r="K58">
        <v>3.8</v>
      </c>
      <c r="L58">
        <v>150</v>
      </c>
      <c r="M58">
        <v>165</v>
      </c>
      <c r="N58" s="3">
        <v>0.2986111111111111</v>
      </c>
      <c r="O58" s="3">
        <v>0.24722222222222223</v>
      </c>
      <c r="P58">
        <v>17</v>
      </c>
      <c r="Q58">
        <v>11</v>
      </c>
      <c r="R58">
        <v>0.92</v>
      </c>
      <c r="S58">
        <v>9.8000000000000007</v>
      </c>
      <c r="T58">
        <v>9</v>
      </c>
      <c r="U58">
        <v>294</v>
      </c>
      <c r="V58" s="3">
        <v>0.29444444444444445</v>
      </c>
      <c r="W58">
        <v>242</v>
      </c>
      <c r="X58">
        <v>0</v>
      </c>
      <c r="Y58">
        <v>236</v>
      </c>
      <c r="Z58">
        <v>302</v>
      </c>
      <c r="AA58" t="s">
        <v>41</v>
      </c>
      <c r="AB58" t="s">
        <v>41</v>
      </c>
      <c r="AC58" t="s">
        <v>41</v>
      </c>
      <c r="AD58" s="4">
        <v>5332</v>
      </c>
      <c r="AE58" t="s">
        <v>41</v>
      </c>
      <c r="AF58" t="s">
        <v>41</v>
      </c>
      <c r="AG58">
        <v>-9</v>
      </c>
      <c r="AH58">
        <v>23</v>
      </c>
      <c r="AI58" t="s">
        <v>42</v>
      </c>
      <c r="AJ58" s="5">
        <v>4.363425925925926E-3</v>
      </c>
      <c r="AK58">
        <v>5</v>
      </c>
      <c r="AL58">
        <v>29</v>
      </c>
      <c r="AM58" s="2">
        <v>2.3796296296296298E-2</v>
      </c>
      <c r="AN58" s="2">
        <v>2.8946759259259259E-2</v>
      </c>
      <c r="AO58">
        <v>278</v>
      </c>
      <c r="AP58">
        <v>289</v>
      </c>
    </row>
    <row r="59" spans="1:42" x14ac:dyDescent="0.25">
      <c r="A59" t="s">
        <v>40</v>
      </c>
      <c r="B59" s="1">
        <v>45784.713773148149</v>
      </c>
      <c r="C59" t="s">
        <v>75</v>
      </c>
      <c r="D59" t="s">
        <v>211</v>
      </c>
      <c r="E59" t="s">
        <v>106</v>
      </c>
      <c r="F59">
        <v>0</v>
      </c>
      <c r="G59">
        <v>87</v>
      </c>
      <c r="H59" s="2">
        <v>1.2858796296296297E-2</v>
      </c>
      <c r="I59">
        <v>131</v>
      </c>
      <c r="J59">
        <v>160</v>
      </c>
      <c r="K59">
        <v>1.9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>
        <v>0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>
        <v>4</v>
      </c>
      <c r="AE59">
        <v>2</v>
      </c>
      <c r="AF59">
        <v>1</v>
      </c>
      <c r="AG59" t="s">
        <v>41</v>
      </c>
      <c r="AH59">
        <v>25</v>
      </c>
      <c r="AI59" t="s">
        <v>42</v>
      </c>
      <c r="AJ59" s="2">
        <v>1.2858796296296297E-2</v>
      </c>
      <c r="AK59">
        <v>1</v>
      </c>
      <c r="AL59">
        <v>28</v>
      </c>
      <c r="AM59" s="2">
        <v>1.2858796296296297E-2</v>
      </c>
      <c r="AN59" s="2">
        <v>1.2858796296296297E-2</v>
      </c>
      <c r="AO59" t="s">
        <v>41</v>
      </c>
      <c r="AP59" t="s">
        <v>41</v>
      </c>
    </row>
    <row r="60" spans="1:42" x14ac:dyDescent="0.25">
      <c r="A60" t="s">
        <v>40</v>
      </c>
      <c r="B60" s="1">
        <v>45784.67759259259</v>
      </c>
      <c r="C60" t="s">
        <v>85</v>
      </c>
      <c r="D60" t="s">
        <v>212</v>
      </c>
      <c r="E60" t="s">
        <v>106</v>
      </c>
      <c r="F60">
        <v>4.62</v>
      </c>
      <c r="G60">
        <v>325</v>
      </c>
      <c r="H60" s="2">
        <v>2.2708333333333334E-2</v>
      </c>
      <c r="I60">
        <v>171</v>
      </c>
      <c r="J60">
        <v>192</v>
      </c>
      <c r="K60">
        <v>3.9</v>
      </c>
      <c r="L60">
        <v>157</v>
      </c>
      <c r="M60">
        <v>198</v>
      </c>
      <c r="N60" s="3">
        <v>0.29444444444444445</v>
      </c>
      <c r="O60" s="3">
        <v>0.22916666666666666</v>
      </c>
      <c r="P60">
        <v>41</v>
      </c>
      <c r="Q60">
        <v>57</v>
      </c>
      <c r="R60">
        <v>0.9</v>
      </c>
      <c r="S60">
        <v>9.9</v>
      </c>
      <c r="T60">
        <v>8.9</v>
      </c>
      <c r="U60">
        <v>295</v>
      </c>
      <c r="V60" s="3">
        <v>0.29305555555555557</v>
      </c>
      <c r="W60">
        <v>254</v>
      </c>
      <c r="X60">
        <v>0</v>
      </c>
      <c r="Y60">
        <v>245</v>
      </c>
      <c r="Z60">
        <v>406</v>
      </c>
      <c r="AA60" t="s">
        <v>41</v>
      </c>
      <c r="AB60" t="s">
        <v>41</v>
      </c>
      <c r="AC60" t="s">
        <v>41</v>
      </c>
      <c r="AD60" s="4">
        <v>5126</v>
      </c>
      <c r="AE60" t="s">
        <v>41</v>
      </c>
      <c r="AF60" t="s">
        <v>41</v>
      </c>
      <c r="AG60">
        <v>-8</v>
      </c>
      <c r="AH60">
        <v>24</v>
      </c>
      <c r="AI60" t="s">
        <v>42</v>
      </c>
      <c r="AJ60" s="5">
        <v>2.9618055555555556E-3</v>
      </c>
      <c r="AK60">
        <v>5</v>
      </c>
      <c r="AL60">
        <v>28</v>
      </c>
      <c r="AM60" s="2">
        <v>2.2662037037037036E-2</v>
      </c>
      <c r="AN60" s="2">
        <v>2.2708333333333334E-2</v>
      </c>
      <c r="AO60">
        <v>2</v>
      </c>
      <c r="AP60">
        <v>38</v>
      </c>
    </row>
    <row r="61" spans="1:42" x14ac:dyDescent="0.25">
      <c r="A61" t="s">
        <v>104</v>
      </c>
      <c r="B61" s="1">
        <v>45779.61824074074</v>
      </c>
      <c r="C61" t="s">
        <v>86</v>
      </c>
      <c r="D61" t="s">
        <v>86</v>
      </c>
      <c r="E61" t="s">
        <v>106</v>
      </c>
      <c r="F61">
        <v>8.18</v>
      </c>
      <c r="G61">
        <v>545</v>
      </c>
      <c r="H61" s="2">
        <v>7.633101851851852E-2</v>
      </c>
      <c r="I61">
        <v>114</v>
      </c>
      <c r="J61">
        <v>160</v>
      </c>
      <c r="K61">
        <v>2.4</v>
      </c>
      <c r="L61">
        <v>93</v>
      </c>
      <c r="M61">
        <v>231</v>
      </c>
      <c r="N61" s="3">
        <v>0.55972222222222223</v>
      </c>
      <c r="O61" s="3">
        <v>0.29652777777777778</v>
      </c>
      <c r="P61">
        <v>224</v>
      </c>
      <c r="Q61">
        <v>235</v>
      </c>
      <c r="R61">
        <v>0.8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>
        <v>0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s="4">
        <v>10752</v>
      </c>
      <c r="AE61" t="s">
        <v>41</v>
      </c>
      <c r="AF61" t="s">
        <v>41</v>
      </c>
      <c r="AG61">
        <v>-7</v>
      </c>
      <c r="AH61">
        <v>21</v>
      </c>
      <c r="AI61" t="s">
        <v>42</v>
      </c>
      <c r="AJ61" s="5">
        <v>2.7083333333333332E-4</v>
      </c>
      <c r="AK61">
        <v>10</v>
      </c>
      <c r="AL61">
        <v>27</v>
      </c>
      <c r="AM61" s="2">
        <v>6.9027777777777771E-2</v>
      </c>
      <c r="AN61" s="2">
        <v>7.633101851851852E-2</v>
      </c>
      <c r="AO61">
        <v>310</v>
      </c>
      <c r="AP61">
        <v>438</v>
      </c>
    </row>
    <row r="62" spans="1:42" x14ac:dyDescent="0.25">
      <c r="A62" t="s">
        <v>40</v>
      </c>
      <c r="B62" s="1">
        <v>45778.680289351854</v>
      </c>
      <c r="C62" t="s">
        <v>87</v>
      </c>
      <c r="D62" t="s">
        <v>212</v>
      </c>
      <c r="E62" t="s">
        <v>106</v>
      </c>
      <c r="F62">
        <v>5.0199999999999996</v>
      </c>
      <c r="G62">
        <v>364</v>
      </c>
      <c r="H62" s="2">
        <v>2.4606481481481483E-2</v>
      </c>
      <c r="I62">
        <v>173</v>
      </c>
      <c r="J62">
        <v>193</v>
      </c>
      <c r="K62">
        <v>4.2</v>
      </c>
      <c r="L62">
        <v>157</v>
      </c>
      <c r="M62">
        <v>167</v>
      </c>
      <c r="N62" s="3">
        <v>0.29444444444444445</v>
      </c>
      <c r="O62" s="3">
        <v>0.19236111111111112</v>
      </c>
      <c r="P62">
        <v>53</v>
      </c>
      <c r="Q62">
        <v>65</v>
      </c>
      <c r="R62">
        <v>0.91</v>
      </c>
      <c r="S62">
        <v>9.9</v>
      </c>
      <c r="T62">
        <v>9</v>
      </c>
      <c r="U62">
        <v>295</v>
      </c>
      <c r="V62" s="3">
        <v>0.29097222222222224</v>
      </c>
      <c r="W62">
        <v>261</v>
      </c>
      <c r="X62">
        <v>0</v>
      </c>
      <c r="Y62">
        <v>253</v>
      </c>
      <c r="Z62">
        <v>405</v>
      </c>
      <c r="AA62" t="s">
        <v>41</v>
      </c>
      <c r="AB62" t="s">
        <v>41</v>
      </c>
      <c r="AC62" t="s">
        <v>41</v>
      </c>
      <c r="AD62" s="4">
        <v>5532</v>
      </c>
      <c r="AE62" t="s">
        <v>41</v>
      </c>
      <c r="AF62" t="s">
        <v>41</v>
      </c>
      <c r="AG62">
        <v>-8</v>
      </c>
      <c r="AH62">
        <v>21</v>
      </c>
      <c r="AI62" t="s">
        <v>42</v>
      </c>
      <c r="AJ62" s="5">
        <v>3.0092592592592595E-4</v>
      </c>
      <c r="AK62">
        <v>6</v>
      </c>
      <c r="AL62">
        <v>28</v>
      </c>
      <c r="AM62" s="2">
        <v>2.4594907407407409E-2</v>
      </c>
      <c r="AN62" s="2">
        <v>2.4606481481481483E-2</v>
      </c>
      <c r="AO62">
        <v>7</v>
      </c>
      <c r="AP62">
        <v>40</v>
      </c>
    </row>
    <row r="63" spans="1:42" x14ac:dyDescent="0.25">
      <c r="A63" t="s">
        <v>40</v>
      </c>
      <c r="B63" s="1">
        <v>45771.703032407408</v>
      </c>
      <c r="C63" t="s">
        <v>75</v>
      </c>
      <c r="D63" t="s">
        <v>211</v>
      </c>
      <c r="E63" t="s">
        <v>106</v>
      </c>
      <c r="F63">
        <v>0</v>
      </c>
      <c r="G63">
        <v>185</v>
      </c>
      <c r="H63" s="2">
        <v>1.8912037037037036E-2</v>
      </c>
      <c r="I63">
        <v>129</v>
      </c>
      <c r="J63">
        <v>158</v>
      </c>
      <c r="K63">
        <v>2.1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>
        <v>0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>
        <v>18</v>
      </c>
      <c r="AE63">
        <v>9</v>
      </c>
      <c r="AF63">
        <v>1</v>
      </c>
      <c r="AG63">
        <v>-5</v>
      </c>
      <c r="AH63">
        <v>25</v>
      </c>
      <c r="AI63" t="s">
        <v>42</v>
      </c>
      <c r="AJ63" s="2">
        <v>1.8912037037037036E-2</v>
      </c>
      <c r="AK63">
        <v>1</v>
      </c>
      <c r="AL63">
        <v>28</v>
      </c>
      <c r="AM63" s="2">
        <v>1.8912037037037036E-2</v>
      </c>
      <c r="AN63" s="2">
        <v>2.0185185185185184E-2</v>
      </c>
      <c r="AO63" t="s">
        <v>41</v>
      </c>
      <c r="AP63" t="s">
        <v>41</v>
      </c>
    </row>
    <row r="64" spans="1:42" x14ac:dyDescent="0.25">
      <c r="A64" t="s">
        <v>40</v>
      </c>
      <c r="B64" s="1">
        <v>45771.672152777777</v>
      </c>
      <c r="C64" t="s">
        <v>87</v>
      </c>
      <c r="D64" t="s">
        <v>211</v>
      </c>
      <c r="E64" t="s">
        <v>106</v>
      </c>
      <c r="F64">
        <v>4.88</v>
      </c>
      <c r="G64">
        <v>342</v>
      </c>
      <c r="H64" s="2">
        <v>2.4502314814814814E-2</v>
      </c>
      <c r="I64">
        <v>160</v>
      </c>
      <c r="J64">
        <v>175</v>
      </c>
      <c r="K64">
        <v>3.6</v>
      </c>
      <c r="L64">
        <v>157</v>
      </c>
      <c r="M64">
        <v>167</v>
      </c>
      <c r="N64" s="3">
        <v>0.30138888888888887</v>
      </c>
      <c r="O64" s="3">
        <v>0.27638888888888891</v>
      </c>
      <c r="P64">
        <v>59</v>
      </c>
      <c r="Q64">
        <v>62</v>
      </c>
      <c r="R64">
        <v>0.88</v>
      </c>
      <c r="S64">
        <v>10</v>
      </c>
      <c r="T64">
        <v>8.8000000000000007</v>
      </c>
      <c r="U64">
        <v>297</v>
      </c>
      <c r="V64" s="3">
        <v>0.2986111111111111</v>
      </c>
      <c r="W64">
        <v>248</v>
      </c>
      <c r="X64">
        <v>0</v>
      </c>
      <c r="Y64">
        <v>244</v>
      </c>
      <c r="Z64">
        <v>315</v>
      </c>
      <c r="AA64" t="s">
        <v>41</v>
      </c>
      <c r="AB64" t="s">
        <v>41</v>
      </c>
      <c r="AC64" t="s">
        <v>41</v>
      </c>
      <c r="AD64" s="4">
        <v>5500</v>
      </c>
      <c r="AE64" t="s">
        <v>41</v>
      </c>
      <c r="AF64" t="s">
        <v>41</v>
      </c>
      <c r="AG64">
        <v>-10</v>
      </c>
      <c r="AH64">
        <v>22</v>
      </c>
      <c r="AI64" t="s">
        <v>42</v>
      </c>
      <c r="AJ64" s="5">
        <v>1.9560185185185183E-4</v>
      </c>
      <c r="AK64">
        <v>6</v>
      </c>
      <c r="AL64">
        <v>26</v>
      </c>
      <c r="AM64" s="2">
        <v>2.4456018518518519E-2</v>
      </c>
      <c r="AN64" s="2">
        <v>2.4502314814814814E-2</v>
      </c>
      <c r="AO64">
        <v>35</v>
      </c>
      <c r="AP64">
        <v>85</v>
      </c>
    </row>
    <row r="65" spans="1:42" x14ac:dyDescent="0.25">
      <c r="A65" t="s">
        <v>40</v>
      </c>
      <c r="B65" s="1">
        <v>45769.514155092591</v>
      </c>
      <c r="C65" t="s">
        <v>87</v>
      </c>
      <c r="D65" t="s">
        <v>212</v>
      </c>
      <c r="E65" t="s">
        <v>106</v>
      </c>
      <c r="F65">
        <v>5.42</v>
      </c>
      <c r="G65">
        <v>386</v>
      </c>
      <c r="H65" s="2">
        <v>2.5416666666666667E-2</v>
      </c>
      <c r="I65">
        <v>173</v>
      </c>
      <c r="J65">
        <v>192</v>
      </c>
      <c r="K65">
        <v>4.3</v>
      </c>
      <c r="L65">
        <v>158</v>
      </c>
      <c r="M65">
        <v>228</v>
      </c>
      <c r="N65" s="3">
        <v>0.28125</v>
      </c>
      <c r="O65" s="3">
        <v>0.19583333333333333</v>
      </c>
      <c r="P65">
        <v>56</v>
      </c>
      <c r="Q65">
        <v>61</v>
      </c>
      <c r="R65">
        <v>0.94</v>
      </c>
      <c r="S65">
        <v>9.6999999999999993</v>
      </c>
      <c r="T65">
        <v>9.1</v>
      </c>
      <c r="U65">
        <v>291</v>
      </c>
      <c r="V65" s="3">
        <v>0.27708333333333335</v>
      </c>
      <c r="W65">
        <v>267</v>
      </c>
      <c r="X65">
        <v>0</v>
      </c>
      <c r="Y65">
        <v>260</v>
      </c>
      <c r="Z65">
        <v>393</v>
      </c>
      <c r="AA65" t="s">
        <v>41</v>
      </c>
      <c r="AB65" t="s">
        <v>41</v>
      </c>
      <c r="AC65" t="s">
        <v>41</v>
      </c>
      <c r="AD65" s="4">
        <v>5738</v>
      </c>
      <c r="AE65" t="s">
        <v>41</v>
      </c>
      <c r="AF65" t="s">
        <v>41</v>
      </c>
      <c r="AG65">
        <v>-14</v>
      </c>
      <c r="AH65">
        <v>27</v>
      </c>
      <c r="AI65" t="s">
        <v>42</v>
      </c>
      <c r="AJ65" s="5">
        <v>4.1435185185185184E-4</v>
      </c>
      <c r="AK65">
        <v>7</v>
      </c>
      <c r="AL65">
        <v>31</v>
      </c>
      <c r="AM65" s="2">
        <v>2.539351851851852E-2</v>
      </c>
      <c r="AN65" s="2">
        <v>2.7453703703703702E-2</v>
      </c>
      <c r="AO65">
        <v>-1</v>
      </c>
      <c r="AP65">
        <v>40</v>
      </c>
    </row>
    <row r="66" spans="1:42" x14ac:dyDescent="0.25">
      <c r="A66" t="s">
        <v>40</v>
      </c>
      <c r="B66" s="1">
        <v>45762.703101851854</v>
      </c>
      <c r="C66" t="s">
        <v>87</v>
      </c>
      <c r="D66" t="s">
        <v>212</v>
      </c>
      <c r="E66" t="s">
        <v>106</v>
      </c>
      <c r="F66">
        <v>7.46</v>
      </c>
      <c r="G66">
        <v>525</v>
      </c>
      <c r="H66" s="2">
        <v>3.6099537037037034E-2</v>
      </c>
      <c r="I66">
        <v>167</v>
      </c>
      <c r="J66">
        <v>187</v>
      </c>
      <c r="K66">
        <v>4.5</v>
      </c>
      <c r="L66">
        <v>158</v>
      </c>
      <c r="M66">
        <v>226</v>
      </c>
      <c r="N66" s="3">
        <v>0.2902777777777778</v>
      </c>
      <c r="O66" s="3">
        <v>0.19513888888888889</v>
      </c>
      <c r="P66">
        <v>62</v>
      </c>
      <c r="Q66">
        <v>81</v>
      </c>
      <c r="R66">
        <v>0.91</v>
      </c>
      <c r="S66">
        <v>9.9</v>
      </c>
      <c r="T66">
        <v>8.9</v>
      </c>
      <c r="U66">
        <v>292</v>
      </c>
      <c r="V66" s="3">
        <v>0.28958333333333336</v>
      </c>
      <c r="W66">
        <v>258</v>
      </c>
      <c r="X66">
        <v>0</v>
      </c>
      <c r="Y66">
        <v>253</v>
      </c>
      <c r="Z66">
        <v>431</v>
      </c>
      <c r="AA66" t="s">
        <v>41</v>
      </c>
      <c r="AB66" t="s">
        <v>41</v>
      </c>
      <c r="AC66" t="s">
        <v>41</v>
      </c>
      <c r="AD66" s="4">
        <v>8200</v>
      </c>
      <c r="AE66" t="s">
        <v>41</v>
      </c>
      <c r="AF66" t="s">
        <v>41</v>
      </c>
      <c r="AG66">
        <v>-13</v>
      </c>
      <c r="AH66">
        <v>24</v>
      </c>
      <c r="AI66" t="s">
        <v>42</v>
      </c>
      <c r="AJ66" s="5">
        <v>3.7037037037037037E-5</v>
      </c>
      <c r="AK66">
        <v>9</v>
      </c>
      <c r="AL66">
        <v>30</v>
      </c>
      <c r="AM66" s="2">
        <v>3.6064814814814813E-2</v>
      </c>
      <c r="AN66" s="2">
        <v>3.6099537037037034E-2</v>
      </c>
      <c r="AO66">
        <v>2</v>
      </c>
      <c r="AP66">
        <v>38</v>
      </c>
    </row>
    <row r="67" spans="1:42" x14ac:dyDescent="0.25">
      <c r="A67" t="s">
        <v>40</v>
      </c>
      <c r="B67" s="1">
        <v>45760.37159722222</v>
      </c>
      <c r="C67" t="s">
        <v>85</v>
      </c>
      <c r="D67" t="s">
        <v>211</v>
      </c>
      <c r="E67" t="s">
        <v>106</v>
      </c>
      <c r="F67">
        <v>3.33</v>
      </c>
      <c r="G67">
        <v>214</v>
      </c>
      <c r="H67" s="2">
        <v>1.6620370370370369E-2</v>
      </c>
      <c r="I67">
        <v>150</v>
      </c>
      <c r="J67">
        <v>182</v>
      </c>
      <c r="K67">
        <v>3</v>
      </c>
      <c r="L67">
        <v>129</v>
      </c>
      <c r="M67">
        <v>183</v>
      </c>
      <c r="N67" s="3">
        <v>0.3</v>
      </c>
      <c r="O67" s="3">
        <v>0.14791666666666667</v>
      </c>
      <c r="P67">
        <v>28</v>
      </c>
      <c r="Q67">
        <v>23</v>
      </c>
      <c r="R67">
        <v>1.1499999999999999</v>
      </c>
      <c r="S67">
        <v>7.9</v>
      </c>
      <c r="T67">
        <v>8</v>
      </c>
      <c r="U67">
        <v>255</v>
      </c>
      <c r="V67" s="3">
        <v>0.29305555555555557</v>
      </c>
      <c r="W67">
        <v>312</v>
      </c>
      <c r="X67">
        <v>0</v>
      </c>
      <c r="Y67">
        <v>225</v>
      </c>
      <c r="Z67">
        <v>502</v>
      </c>
      <c r="AA67" t="s">
        <v>41</v>
      </c>
      <c r="AB67" t="s">
        <v>41</v>
      </c>
      <c r="AC67" t="s">
        <v>41</v>
      </c>
      <c r="AD67" s="4">
        <v>3166</v>
      </c>
      <c r="AE67" t="s">
        <v>41</v>
      </c>
      <c r="AF67" t="s">
        <v>41</v>
      </c>
      <c r="AG67">
        <v>-8</v>
      </c>
      <c r="AH67">
        <v>23</v>
      </c>
      <c r="AI67" t="s">
        <v>42</v>
      </c>
      <c r="AJ67" s="5">
        <v>1.863425925925926E-4</v>
      </c>
      <c r="AK67">
        <v>8</v>
      </c>
      <c r="AL67">
        <v>28</v>
      </c>
      <c r="AM67" s="2">
        <v>1.6527777777777777E-2</v>
      </c>
      <c r="AN67" s="2">
        <v>1.6620370370370369E-2</v>
      </c>
      <c r="AO67">
        <v>37</v>
      </c>
      <c r="AP67">
        <v>50</v>
      </c>
    </row>
    <row r="68" spans="1:42" x14ac:dyDescent="0.25">
      <c r="A68" t="s">
        <v>104</v>
      </c>
      <c r="B68" s="1">
        <v>45759.525243055556</v>
      </c>
      <c r="C68" t="s">
        <v>88</v>
      </c>
      <c r="D68" t="s">
        <v>214</v>
      </c>
      <c r="E68" t="s">
        <v>106</v>
      </c>
      <c r="F68">
        <v>0.63</v>
      </c>
      <c r="G68">
        <v>76</v>
      </c>
      <c r="H68" s="2">
        <v>1.5601851851851851E-2</v>
      </c>
      <c r="I68">
        <v>94</v>
      </c>
      <c r="J68">
        <v>124</v>
      </c>
      <c r="K68">
        <v>0.3</v>
      </c>
      <c r="L68">
        <v>31</v>
      </c>
      <c r="M68">
        <v>160</v>
      </c>
      <c r="N68" s="6">
        <v>1.4868055555555555</v>
      </c>
      <c r="O68" s="3">
        <v>0.43819444444444444</v>
      </c>
      <c r="P68">
        <v>29</v>
      </c>
      <c r="Q68">
        <v>31</v>
      </c>
      <c r="R68">
        <v>0.92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>
        <v>0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>
        <v>854</v>
      </c>
      <c r="AE68" t="s">
        <v>41</v>
      </c>
      <c r="AF68" t="s">
        <v>41</v>
      </c>
      <c r="AG68">
        <v>-2</v>
      </c>
      <c r="AH68">
        <v>30</v>
      </c>
      <c r="AI68" t="s">
        <v>42</v>
      </c>
      <c r="AJ68" s="2">
        <v>1.5601851851851851E-2</v>
      </c>
      <c r="AK68">
        <v>1</v>
      </c>
      <c r="AL68">
        <v>34</v>
      </c>
      <c r="AM68" s="2">
        <v>6.5393518518518517E-3</v>
      </c>
      <c r="AN68" s="2">
        <v>1.5601851851851851E-2</v>
      </c>
      <c r="AO68">
        <v>119</v>
      </c>
      <c r="AP68">
        <v>138</v>
      </c>
    </row>
    <row r="69" spans="1:42" x14ac:dyDescent="0.25">
      <c r="A69" t="s">
        <v>40</v>
      </c>
      <c r="B69" s="1">
        <v>45754.68959490741</v>
      </c>
      <c r="C69" t="s">
        <v>85</v>
      </c>
      <c r="D69" t="s">
        <v>212</v>
      </c>
      <c r="E69" t="s">
        <v>106</v>
      </c>
      <c r="F69">
        <v>5.24</v>
      </c>
      <c r="G69">
        <v>360</v>
      </c>
      <c r="H69" s="2">
        <v>2.4861111111111112E-2</v>
      </c>
      <c r="I69">
        <v>161</v>
      </c>
      <c r="J69">
        <v>184</v>
      </c>
      <c r="K69">
        <v>4</v>
      </c>
      <c r="L69">
        <v>157</v>
      </c>
      <c r="M69">
        <v>169</v>
      </c>
      <c r="N69" s="3">
        <v>0.28472222222222221</v>
      </c>
      <c r="O69" s="3">
        <v>0.21597222222222223</v>
      </c>
      <c r="P69">
        <v>62</v>
      </c>
      <c r="Q69">
        <v>69</v>
      </c>
      <c r="R69">
        <v>0.93</v>
      </c>
      <c r="S69">
        <v>9.6999999999999993</v>
      </c>
      <c r="T69">
        <v>9.1</v>
      </c>
      <c r="U69">
        <v>291</v>
      </c>
      <c r="V69" s="3">
        <v>0.28125</v>
      </c>
      <c r="W69">
        <v>270</v>
      </c>
      <c r="X69">
        <v>0</v>
      </c>
      <c r="Y69">
        <v>260</v>
      </c>
      <c r="Z69">
        <v>448</v>
      </c>
      <c r="AA69" t="s">
        <v>41</v>
      </c>
      <c r="AB69" t="s">
        <v>41</v>
      </c>
      <c r="AC69" t="s">
        <v>41</v>
      </c>
      <c r="AD69" s="4">
        <v>5618</v>
      </c>
      <c r="AE69" t="s">
        <v>41</v>
      </c>
      <c r="AF69" t="s">
        <v>41</v>
      </c>
      <c r="AG69">
        <v>-11</v>
      </c>
      <c r="AH69">
        <v>23</v>
      </c>
      <c r="AI69" t="s">
        <v>42</v>
      </c>
      <c r="AJ69" s="5">
        <v>1.1180555555555555E-3</v>
      </c>
      <c r="AK69">
        <v>6</v>
      </c>
      <c r="AL69">
        <v>28</v>
      </c>
      <c r="AM69" s="2">
        <v>2.4756944444444446E-2</v>
      </c>
      <c r="AN69" s="2">
        <v>2.4861111111111112E-2</v>
      </c>
      <c r="AO69">
        <v>2</v>
      </c>
      <c r="AP69">
        <v>38</v>
      </c>
    </row>
    <row r="70" spans="1:42" x14ac:dyDescent="0.25">
      <c r="A70" t="s">
        <v>40</v>
      </c>
      <c r="B70" s="1">
        <v>45752.738263888888</v>
      </c>
      <c r="C70" t="s">
        <v>85</v>
      </c>
      <c r="D70" t="s">
        <v>212</v>
      </c>
      <c r="E70" t="s">
        <v>106</v>
      </c>
      <c r="F70">
        <v>6.03</v>
      </c>
      <c r="G70">
        <v>420</v>
      </c>
      <c r="H70" s="2">
        <v>3.1215277777777779E-2</v>
      </c>
      <c r="I70">
        <v>159</v>
      </c>
      <c r="J70">
        <v>179</v>
      </c>
      <c r="K70">
        <v>3.7</v>
      </c>
      <c r="L70">
        <v>159</v>
      </c>
      <c r="M70">
        <v>168</v>
      </c>
      <c r="N70" s="3">
        <v>0.31041666666666667</v>
      </c>
      <c r="O70" s="3">
        <v>0.20347222222222222</v>
      </c>
      <c r="P70">
        <v>74</v>
      </c>
      <c r="Q70">
        <v>78</v>
      </c>
      <c r="R70">
        <v>0.84</v>
      </c>
      <c r="S70">
        <v>10.1</v>
      </c>
      <c r="T70">
        <v>8.5</v>
      </c>
      <c r="U70">
        <v>294</v>
      </c>
      <c r="V70" s="3">
        <v>0.30625000000000002</v>
      </c>
      <c r="W70">
        <v>249</v>
      </c>
      <c r="X70">
        <v>0</v>
      </c>
      <c r="Y70">
        <v>240</v>
      </c>
      <c r="Z70">
        <v>399</v>
      </c>
      <c r="AA70" t="s">
        <v>41</v>
      </c>
      <c r="AB70" t="s">
        <v>41</v>
      </c>
      <c r="AC70" t="s">
        <v>41</v>
      </c>
      <c r="AD70" s="4">
        <v>7130</v>
      </c>
      <c r="AE70" t="s">
        <v>41</v>
      </c>
      <c r="AF70" t="s">
        <v>41</v>
      </c>
      <c r="AG70">
        <v>-11</v>
      </c>
      <c r="AH70">
        <v>26</v>
      </c>
      <c r="AI70" t="s">
        <v>42</v>
      </c>
      <c r="AJ70" s="5">
        <v>1.9675925925925926E-4</v>
      </c>
      <c r="AK70">
        <v>7</v>
      </c>
      <c r="AL70">
        <v>30</v>
      </c>
      <c r="AM70" s="2">
        <v>3.1192129629629629E-2</v>
      </c>
      <c r="AN70" s="2">
        <v>3.1215277777777779E-2</v>
      </c>
      <c r="AO70">
        <v>4</v>
      </c>
      <c r="AP70">
        <v>41</v>
      </c>
    </row>
    <row r="71" spans="1:42" x14ac:dyDescent="0.25">
      <c r="A71" t="s">
        <v>40</v>
      </c>
      <c r="B71" s="1">
        <v>45748.75372685185</v>
      </c>
      <c r="C71" t="s">
        <v>87</v>
      </c>
      <c r="D71" t="s">
        <v>212</v>
      </c>
      <c r="E71" t="s">
        <v>106</v>
      </c>
      <c r="F71">
        <v>7.31</v>
      </c>
      <c r="G71">
        <v>505</v>
      </c>
      <c r="H71" s="2">
        <v>3.5891203703703703E-2</v>
      </c>
      <c r="I71">
        <v>161</v>
      </c>
      <c r="J71">
        <v>183</v>
      </c>
      <c r="K71">
        <v>4.2</v>
      </c>
      <c r="L71">
        <v>159</v>
      </c>
      <c r="M71">
        <v>170</v>
      </c>
      <c r="N71" s="3">
        <v>0.29444444444444445</v>
      </c>
      <c r="O71" s="3">
        <v>0.21666666666666667</v>
      </c>
      <c r="P71">
        <v>69</v>
      </c>
      <c r="Q71">
        <v>66</v>
      </c>
      <c r="R71">
        <v>0.89</v>
      </c>
      <c r="S71">
        <v>9.9</v>
      </c>
      <c r="T71">
        <v>8.8000000000000007</v>
      </c>
      <c r="U71">
        <v>292</v>
      </c>
      <c r="V71" s="3">
        <v>0.29236111111111113</v>
      </c>
      <c r="W71">
        <v>252</v>
      </c>
      <c r="X71">
        <v>0</v>
      </c>
      <c r="Y71">
        <v>248</v>
      </c>
      <c r="Z71">
        <v>394</v>
      </c>
      <c r="AA71" t="s">
        <v>41</v>
      </c>
      <c r="AB71" t="s">
        <v>41</v>
      </c>
      <c r="AC71" t="s">
        <v>41</v>
      </c>
      <c r="AD71" s="4">
        <v>8192</v>
      </c>
      <c r="AE71" t="s">
        <v>41</v>
      </c>
      <c r="AF71" t="s">
        <v>41</v>
      </c>
      <c r="AG71">
        <v>-12</v>
      </c>
      <c r="AH71">
        <v>23</v>
      </c>
      <c r="AI71" t="s">
        <v>42</v>
      </c>
      <c r="AJ71" s="5">
        <v>4.7222222222222218E-4</v>
      </c>
      <c r="AK71">
        <v>9</v>
      </c>
      <c r="AL71">
        <v>27</v>
      </c>
      <c r="AM71" s="2">
        <v>3.5844907407407409E-2</v>
      </c>
      <c r="AN71" s="2">
        <v>3.5972222222222225E-2</v>
      </c>
      <c r="AO71">
        <v>6</v>
      </c>
      <c r="AP71">
        <v>40</v>
      </c>
    </row>
    <row r="72" spans="1:42" x14ac:dyDescent="0.25">
      <c r="A72" t="s">
        <v>104</v>
      </c>
      <c r="B72" s="1">
        <v>45747.738807870373</v>
      </c>
      <c r="C72" t="s">
        <v>89</v>
      </c>
      <c r="D72" t="s">
        <v>207</v>
      </c>
      <c r="E72" t="s">
        <v>106</v>
      </c>
      <c r="F72">
        <v>1.8</v>
      </c>
      <c r="G72">
        <v>157</v>
      </c>
      <c r="H72" s="2">
        <v>2.6111111111111113E-2</v>
      </c>
      <c r="I72">
        <v>101</v>
      </c>
      <c r="J72">
        <v>136</v>
      </c>
      <c r="K72">
        <v>0.6</v>
      </c>
      <c r="L72">
        <v>69</v>
      </c>
      <c r="M72">
        <v>160</v>
      </c>
      <c r="N72" s="3">
        <v>0.87152777777777779</v>
      </c>
      <c r="O72" s="3">
        <v>0.41319444444444442</v>
      </c>
      <c r="P72">
        <v>209</v>
      </c>
      <c r="Q72">
        <v>2</v>
      </c>
      <c r="R72">
        <v>0.7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>
        <v>0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s="4">
        <v>2910</v>
      </c>
      <c r="AE72" t="s">
        <v>41</v>
      </c>
      <c r="AF72" t="s">
        <v>41</v>
      </c>
      <c r="AG72">
        <v>-3</v>
      </c>
      <c r="AH72">
        <v>22</v>
      </c>
      <c r="AI72" t="s">
        <v>42</v>
      </c>
      <c r="AJ72" s="2">
        <v>1.1921296296296296E-2</v>
      </c>
      <c r="AK72">
        <v>2</v>
      </c>
      <c r="AL72">
        <v>30</v>
      </c>
      <c r="AM72" s="2">
        <v>2.0844907407407406E-2</v>
      </c>
      <c r="AN72" s="2">
        <v>2.6111111111111113E-2</v>
      </c>
      <c r="AO72">
        <v>10</v>
      </c>
      <c r="AP72">
        <v>219</v>
      </c>
    </row>
    <row r="73" spans="1:42" x14ac:dyDescent="0.25">
      <c r="A73" t="s">
        <v>104</v>
      </c>
      <c r="B73" s="1">
        <v>45747.642534722225</v>
      </c>
      <c r="C73" t="s">
        <v>90</v>
      </c>
      <c r="D73" t="s">
        <v>213</v>
      </c>
      <c r="E73" t="s">
        <v>106</v>
      </c>
      <c r="F73">
        <v>3.25</v>
      </c>
      <c r="G73">
        <v>217</v>
      </c>
      <c r="H73" s="2">
        <v>4.3831018518518519E-2</v>
      </c>
      <c r="I73">
        <v>92</v>
      </c>
      <c r="J73">
        <v>123</v>
      </c>
      <c r="K73">
        <v>0.5</v>
      </c>
      <c r="L73">
        <v>64</v>
      </c>
      <c r="M73">
        <v>160</v>
      </c>
      <c r="N73" s="3">
        <v>0.80833333333333335</v>
      </c>
      <c r="O73" s="3">
        <v>0.2361111111111111</v>
      </c>
      <c r="P73">
        <v>99</v>
      </c>
      <c r="Q73">
        <v>99</v>
      </c>
      <c r="R73">
        <v>0.88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>
        <v>0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s="4">
        <v>4604</v>
      </c>
      <c r="AE73" t="s">
        <v>41</v>
      </c>
      <c r="AF73" t="s">
        <v>41</v>
      </c>
      <c r="AG73">
        <v>-5</v>
      </c>
      <c r="AH73">
        <v>21</v>
      </c>
      <c r="AI73" t="s">
        <v>42</v>
      </c>
      <c r="AJ73" s="5">
        <v>4.4143518518518516E-3</v>
      </c>
      <c r="AK73">
        <v>4</v>
      </c>
      <c r="AL73">
        <v>27</v>
      </c>
      <c r="AM73" s="2">
        <v>3.2569444444444443E-2</v>
      </c>
      <c r="AN73" s="2">
        <v>4.3831018518518519E-2</v>
      </c>
      <c r="AO73">
        <v>433</v>
      </c>
      <c r="AP73">
        <v>489</v>
      </c>
    </row>
    <row r="74" spans="1:42" x14ac:dyDescent="0.25">
      <c r="A74" t="s">
        <v>40</v>
      </c>
      <c r="B74" s="1">
        <v>45743.694918981484</v>
      </c>
      <c r="C74" t="s">
        <v>87</v>
      </c>
      <c r="D74" t="s">
        <v>212</v>
      </c>
      <c r="E74" t="s">
        <v>106</v>
      </c>
      <c r="F74">
        <v>6.52</v>
      </c>
      <c r="G74">
        <v>465</v>
      </c>
      <c r="H74" s="2">
        <v>3.2094907407407405E-2</v>
      </c>
      <c r="I74">
        <v>170</v>
      </c>
      <c r="J74">
        <v>186</v>
      </c>
      <c r="K74">
        <v>4.3</v>
      </c>
      <c r="L74">
        <v>162</v>
      </c>
      <c r="M74">
        <v>191</v>
      </c>
      <c r="N74" s="3">
        <v>0.2951388888888889</v>
      </c>
      <c r="O74" s="3">
        <v>0.18124999999999999</v>
      </c>
      <c r="P74">
        <v>193</v>
      </c>
      <c r="Q74">
        <v>183</v>
      </c>
      <c r="R74">
        <v>0.87</v>
      </c>
      <c r="S74">
        <v>9.8000000000000007</v>
      </c>
      <c r="T74">
        <v>8.5</v>
      </c>
      <c r="U74">
        <v>285</v>
      </c>
      <c r="V74" s="3">
        <v>0.27291666666666664</v>
      </c>
      <c r="W74">
        <v>294</v>
      </c>
      <c r="X74">
        <v>0</v>
      </c>
      <c r="Y74">
        <v>265</v>
      </c>
      <c r="Z74">
        <v>543</v>
      </c>
      <c r="AA74" t="s">
        <v>41</v>
      </c>
      <c r="AB74" t="s">
        <v>41</v>
      </c>
      <c r="AC74" t="s">
        <v>41</v>
      </c>
      <c r="AD74" s="4">
        <v>7478</v>
      </c>
      <c r="AE74" t="s">
        <v>41</v>
      </c>
      <c r="AF74" t="s">
        <v>41</v>
      </c>
      <c r="AG74">
        <v>-9</v>
      </c>
      <c r="AH74">
        <v>29</v>
      </c>
      <c r="AI74" t="s">
        <v>42</v>
      </c>
      <c r="AJ74" s="5">
        <v>1.5046296296296297E-4</v>
      </c>
      <c r="AK74">
        <v>8</v>
      </c>
      <c r="AL74">
        <v>35</v>
      </c>
      <c r="AM74" s="2">
        <v>3.2071759259259258E-2</v>
      </c>
      <c r="AN74" s="2">
        <v>3.2094907407407405E-2</v>
      </c>
      <c r="AO74">
        <v>-29</v>
      </c>
      <c r="AP74">
        <v>49</v>
      </c>
    </row>
    <row r="75" spans="1:42" x14ac:dyDescent="0.25">
      <c r="A75" t="s">
        <v>40</v>
      </c>
      <c r="B75" s="1">
        <v>45740.384016203701</v>
      </c>
      <c r="C75" t="s">
        <v>85</v>
      </c>
      <c r="D75" t="s">
        <v>211</v>
      </c>
      <c r="E75" t="s">
        <v>106</v>
      </c>
      <c r="F75">
        <v>5.01</v>
      </c>
      <c r="G75">
        <v>343</v>
      </c>
      <c r="H75" s="2">
        <v>2.5266203703703704E-2</v>
      </c>
      <c r="I75">
        <v>156</v>
      </c>
      <c r="J75">
        <v>179</v>
      </c>
      <c r="K75">
        <v>3.6</v>
      </c>
      <c r="L75">
        <v>160</v>
      </c>
      <c r="M75">
        <v>169</v>
      </c>
      <c r="N75" s="3">
        <v>0.30208333333333331</v>
      </c>
      <c r="O75" s="3">
        <v>0.25</v>
      </c>
      <c r="P75">
        <v>61</v>
      </c>
      <c r="Q75">
        <v>60</v>
      </c>
      <c r="R75">
        <v>0.86</v>
      </c>
      <c r="S75">
        <v>10</v>
      </c>
      <c r="T75">
        <v>8.6</v>
      </c>
      <c r="U75">
        <v>292</v>
      </c>
      <c r="V75" s="3">
        <v>0.29930555555555555</v>
      </c>
      <c r="W75">
        <v>249</v>
      </c>
      <c r="X75">
        <v>0</v>
      </c>
      <c r="Y75">
        <v>244</v>
      </c>
      <c r="Z75">
        <v>354</v>
      </c>
      <c r="AA75" t="s">
        <v>41</v>
      </c>
      <c r="AB75" t="s">
        <v>41</v>
      </c>
      <c r="AC75" t="s">
        <v>41</v>
      </c>
      <c r="AD75" s="4">
        <v>5794</v>
      </c>
      <c r="AE75" t="s">
        <v>41</v>
      </c>
      <c r="AF75" t="s">
        <v>41</v>
      </c>
      <c r="AG75">
        <v>-11</v>
      </c>
      <c r="AH75">
        <v>23</v>
      </c>
      <c r="AI75" t="s">
        <v>42</v>
      </c>
      <c r="AJ75" s="5">
        <v>7.5231481481481487E-5</v>
      </c>
      <c r="AK75">
        <v>6</v>
      </c>
      <c r="AL75">
        <v>28</v>
      </c>
      <c r="AM75" s="2">
        <v>2.5243055555555557E-2</v>
      </c>
      <c r="AN75" s="2">
        <v>2.5266203703703704E-2</v>
      </c>
      <c r="AO75">
        <v>9</v>
      </c>
      <c r="AP75">
        <v>40</v>
      </c>
    </row>
    <row r="76" spans="1:42" x14ac:dyDescent="0.25">
      <c r="A76" t="s">
        <v>40</v>
      </c>
      <c r="B76" s="1">
        <v>45738.38181712963</v>
      </c>
      <c r="C76" t="s">
        <v>85</v>
      </c>
      <c r="D76" t="s">
        <v>211</v>
      </c>
      <c r="E76" t="s">
        <v>106</v>
      </c>
      <c r="F76">
        <v>5.07</v>
      </c>
      <c r="G76">
        <v>335</v>
      </c>
      <c r="H76" s="2">
        <v>2.326388888888889E-2</v>
      </c>
      <c r="I76">
        <v>164</v>
      </c>
      <c r="J76">
        <v>186</v>
      </c>
      <c r="K76">
        <v>4</v>
      </c>
      <c r="L76">
        <v>162</v>
      </c>
      <c r="M76">
        <v>170</v>
      </c>
      <c r="N76" s="3">
        <v>0.27569444444444446</v>
      </c>
      <c r="O76" s="3">
        <v>0.22152777777777777</v>
      </c>
      <c r="P76">
        <v>61</v>
      </c>
      <c r="Q76">
        <v>70</v>
      </c>
      <c r="R76">
        <v>0.93</v>
      </c>
      <c r="S76">
        <v>9.5</v>
      </c>
      <c r="T76">
        <v>8.9</v>
      </c>
      <c r="U76">
        <v>281</v>
      </c>
      <c r="V76" s="3">
        <v>0.27291666666666664</v>
      </c>
      <c r="W76">
        <v>270</v>
      </c>
      <c r="X76">
        <v>0</v>
      </c>
      <c r="Y76">
        <v>264</v>
      </c>
      <c r="Z76">
        <v>397</v>
      </c>
      <c r="AA76" t="s">
        <v>41</v>
      </c>
      <c r="AB76" t="s">
        <v>41</v>
      </c>
      <c r="AC76" t="s">
        <v>41</v>
      </c>
      <c r="AD76" s="4">
        <v>5428</v>
      </c>
      <c r="AE76" t="s">
        <v>41</v>
      </c>
      <c r="AF76" t="s">
        <v>41</v>
      </c>
      <c r="AG76">
        <v>-11</v>
      </c>
      <c r="AH76">
        <v>24</v>
      </c>
      <c r="AI76" t="s">
        <v>42</v>
      </c>
      <c r="AJ76" s="5">
        <v>3.0208333333333335E-4</v>
      </c>
      <c r="AK76">
        <v>6</v>
      </c>
      <c r="AL76">
        <v>29</v>
      </c>
      <c r="AM76" s="2">
        <v>2.3240740740740742E-2</v>
      </c>
      <c r="AN76" s="2">
        <v>2.326388888888889E-2</v>
      </c>
      <c r="AO76">
        <v>25</v>
      </c>
      <c r="AP76">
        <v>92</v>
      </c>
    </row>
    <row r="77" spans="1:42" x14ac:dyDescent="0.25">
      <c r="A77" t="s">
        <v>104</v>
      </c>
      <c r="B77" s="1">
        <v>45735.668391203704</v>
      </c>
      <c r="C77" t="s">
        <v>91</v>
      </c>
      <c r="D77" t="s">
        <v>210</v>
      </c>
      <c r="E77" t="s">
        <v>106</v>
      </c>
      <c r="F77">
        <v>4.6399999999999997</v>
      </c>
      <c r="G77">
        <v>668</v>
      </c>
      <c r="H77" s="2">
        <v>9.8946759259259262E-2</v>
      </c>
      <c r="I77">
        <v>127</v>
      </c>
      <c r="J77">
        <v>166</v>
      </c>
      <c r="K77">
        <v>2.6</v>
      </c>
      <c r="L77">
        <v>32</v>
      </c>
      <c r="M77">
        <v>222</v>
      </c>
      <c r="N77" s="6">
        <v>1.2791666666666666</v>
      </c>
      <c r="O77" s="3">
        <v>0.14791666666666667</v>
      </c>
      <c r="P77">
        <v>349</v>
      </c>
      <c r="Q77">
        <v>365</v>
      </c>
      <c r="R77">
        <v>1.61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>
        <v>0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s="4">
        <v>6460</v>
      </c>
      <c r="AE77" t="s">
        <v>41</v>
      </c>
      <c r="AF77" t="s">
        <v>41</v>
      </c>
      <c r="AG77">
        <v>-14</v>
      </c>
      <c r="AH77">
        <v>17</v>
      </c>
      <c r="AI77" t="s">
        <v>42</v>
      </c>
      <c r="AJ77" s="2">
        <v>8.1828703703703699E-3</v>
      </c>
      <c r="AK77">
        <v>5</v>
      </c>
      <c r="AL77">
        <v>26</v>
      </c>
      <c r="AM77" s="2">
        <v>3.574074074074074E-2</v>
      </c>
      <c r="AN77" s="2">
        <v>0.10706018518518519</v>
      </c>
      <c r="AO77">
        <v>450</v>
      </c>
      <c r="AP77">
        <v>628</v>
      </c>
    </row>
    <row r="78" spans="1:42" x14ac:dyDescent="0.25">
      <c r="A78" t="s">
        <v>104</v>
      </c>
      <c r="B78" s="1">
        <v>45735.60428240741</v>
      </c>
      <c r="C78" t="s">
        <v>92</v>
      </c>
      <c r="D78" t="s">
        <v>92</v>
      </c>
      <c r="E78" t="s">
        <v>106</v>
      </c>
      <c r="F78">
        <v>1.1100000000000001</v>
      </c>
      <c r="G78">
        <v>151</v>
      </c>
      <c r="H78" s="2">
        <v>2.0856481481481483E-2</v>
      </c>
      <c r="I78">
        <v>114</v>
      </c>
      <c r="J78">
        <v>162</v>
      </c>
      <c r="K78">
        <v>2</v>
      </c>
      <c r="L78">
        <v>48</v>
      </c>
      <c r="M78">
        <v>158</v>
      </c>
      <c r="N78" s="6">
        <v>1.1256944444444446</v>
      </c>
      <c r="O78" s="3">
        <v>0.22013888888888888</v>
      </c>
      <c r="P78">
        <v>93</v>
      </c>
      <c r="Q78">
        <v>76</v>
      </c>
      <c r="R78">
        <v>0.79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>
        <v>0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s="4">
        <v>2086</v>
      </c>
      <c r="AE78" t="s">
        <v>41</v>
      </c>
      <c r="AF78" t="s">
        <v>41</v>
      </c>
      <c r="AG78">
        <v>-4</v>
      </c>
      <c r="AH78">
        <v>26</v>
      </c>
      <c r="AI78" t="s">
        <v>42</v>
      </c>
      <c r="AJ78" s="5">
        <v>1.988425925925926E-3</v>
      </c>
      <c r="AK78">
        <v>2</v>
      </c>
      <c r="AL78">
        <v>29</v>
      </c>
      <c r="AM78" s="2">
        <v>1.3761574074074074E-2</v>
      </c>
      <c r="AN78" s="2">
        <v>2.673611111111111E-2</v>
      </c>
      <c r="AO78">
        <v>29</v>
      </c>
      <c r="AP78">
        <v>115</v>
      </c>
    </row>
    <row r="79" spans="1:42" x14ac:dyDescent="0.25">
      <c r="A79" t="s">
        <v>40</v>
      </c>
      <c r="B79" s="1">
        <v>45731.746180555558</v>
      </c>
      <c r="C79" t="s">
        <v>93</v>
      </c>
      <c r="D79" t="s">
        <v>209</v>
      </c>
      <c r="E79" t="s">
        <v>106</v>
      </c>
      <c r="F79">
        <v>6.35</v>
      </c>
      <c r="G79">
        <v>432</v>
      </c>
      <c r="H79" s="2">
        <v>3.1643518518518515E-2</v>
      </c>
      <c r="I79">
        <v>161</v>
      </c>
      <c r="J79">
        <v>188</v>
      </c>
      <c r="K79">
        <v>4.4000000000000004</v>
      </c>
      <c r="L79">
        <v>156</v>
      </c>
      <c r="M79">
        <v>171</v>
      </c>
      <c r="N79" s="3">
        <v>0.29930555555555555</v>
      </c>
      <c r="O79" s="3">
        <v>0.24722222222222223</v>
      </c>
      <c r="P79">
        <v>29</v>
      </c>
      <c r="Q79">
        <v>26</v>
      </c>
      <c r="R79">
        <v>0.9</v>
      </c>
      <c r="S79">
        <v>9.6</v>
      </c>
      <c r="T79">
        <v>8.5</v>
      </c>
      <c r="U79">
        <v>283</v>
      </c>
      <c r="V79" s="3">
        <v>0.29791666666666666</v>
      </c>
      <c r="W79">
        <v>248</v>
      </c>
      <c r="X79">
        <v>0</v>
      </c>
      <c r="Y79">
        <v>238</v>
      </c>
      <c r="Z79">
        <v>365</v>
      </c>
      <c r="AA79" t="s">
        <v>41</v>
      </c>
      <c r="AB79" t="s">
        <v>41</v>
      </c>
      <c r="AC79" t="s">
        <v>41</v>
      </c>
      <c r="AD79" s="4">
        <v>7082</v>
      </c>
      <c r="AE79" t="s">
        <v>41</v>
      </c>
      <c r="AF79" t="s">
        <v>41</v>
      </c>
      <c r="AG79">
        <v>-8</v>
      </c>
      <c r="AH79">
        <v>23</v>
      </c>
      <c r="AI79" t="s">
        <v>42</v>
      </c>
      <c r="AJ79" s="5">
        <v>1.5937499999999999E-3</v>
      </c>
      <c r="AK79">
        <v>7</v>
      </c>
      <c r="AL79">
        <v>28</v>
      </c>
      <c r="AM79" s="2">
        <v>3.1400462962962963E-2</v>
      </c>
      <c r="AN79" s="2">
        <v>3.1643518518518515E-2</v>
      </c>
      <c r="AO79">
        <v>3</v>
      </c>
      <c r="AP79">
        <v>14</v>
      </c>
    </row>
    <row r="80" spans="1:42" x14ac:dyDescent="0.25">
      <c r="A80" t="s">
        <v>104</v>
      </c>
      <c r="B80" s="1">
        <v>45730.674363425926</v>
      </c>
      <c r="C80" t="s">
        <v>89</v>
      </c>
      <c r="D80" t="s">
        <v>208</v>
      </c>
      <c r="E80" t="s">
        <v>106</v>
      </c>
      <c r="F80">
        <v>6.4</v>
      </c>
      <c r="G80">
        <v>525</v>
      </c>
      <c r="H80" s="2">
        <v>9.1481481481481483E-2</v>
      </c>
      <c r="I80">
        <v>107</v>
      </c>
      <c r="J80">
        <v>153</v>
      </c>
      <c r="K80">
        <v>1.4</v>
      </c>
      <c r="L80">
        <v>62</v>
      </c>
      <c r="M80">
        <v>226</v>
      </c>
      <c r="N80" s="3">
        <v>0.85763888888888884</v>
      </c>
      <c r="O80" s="3">
        <v>0.19375000000000001</v>
      </c>
      <c r="P80">
        <v>318</v>
      </c>
      <c r="Q80">
        <v>383</v>
      </c>
      <c r="R80">
        <v>0.79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>
        <v>0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s="4">
        <v>9226</v>
      </c>
      <c r="AE80" t="s">
        <v>41</v>
      </c>
      <c r="AF80" t="s">
        <v>41</v>
      </c>
      <c r="AG80">
        <v>-9</v>
      </c>
      <c r="AH80">
        <v>25</v>
      </c>
      <c r="AI80" t="s">
        <v>42</v>
      </c>
      <c r="AJ80" s="5">
        <v>4.6319444444444446E-3</v>
      </c>
      <c r="AK80">
        <v>7</v>
      </c>
      <c r="AL80">
        <v>35</v>
      </c>
      <c r="AM80" s="2">
        <v>6.1319444444444447E-2</v>
      </c>
      <c r="AN80" s="2">
        <v>0.10318287037037037</v>
      </c>
      <c r="AO80">
        <v>14</v>
      </c>
      <c r="AP80">
        <v>228</v>
      </c>
    </row>
    <row r="81" spans="1:42" x14ac:dyDescent="0.25">
      <c r="A81" t="s">
        <v>104</v>
      </c>
      <c r="B81" s="1">
        <v>45729.573067129626</v>
      </c>
      <c r="C81" t="s">
        <v>94</v>
      </c>
      <c r="D81" t="s">
        <v>94</v>
      </c>
      <c r="E81" t="s">
        <v>106</v>
      </c>
      <c r="F81">
        <v>7.13</v>
      </c>
      <c r="G81">
        <v>559</v>
      </c>
      <c r="H81" s="2">
        <v>0.11753472222222222</v>
      </c>
      <c r="I81">
        <v>92</v>
      </c>
      <c r="J81">
        <v>152</v>
      </c>
      <c r="K81">
        <v>1.1000000000000001</v>
      </c>
      <c r="L81">
        <v>52</v>
      </c>
      <c r="M81">
        <v>160</v>
      </c>
      <c r="N81" s="3">
        <v>0.98958333333333337</v>
      </c>
      <c r="O81" s="3">
        <v>0.17708333333333334</v>
      </c>
      <c r="P81">
        <v>347</v>
      </c>
      <c r="Q81">
        <v>382</v>
      </c>
      <c r="R81">
        <v>0.93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>
        <v>0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s="4">
        <v>10306</v>
      </c>
      <c r="AE81" t="s">
        <v>41</v>
      </c>
      <c r="AF81" t="s">
        <v>41</v>
      </c>
      <c r="AG81">
        <v>-13</v>
      </c>
      <c r="AH81">
        <v>24</v>
      </c>
      <c r="AI81" t="s">
        <v>42</v>
      </c>
      <c r="AJ81" s="2">
        <v>8.611111111111111E-3</v>
      </c>
      <c r="AK81">
        <v>8</v>
      </c>
      <c r="AL81">
        <v>34</v>
      </c>
      <c r="AM81" s="2">
        <v>6.8726851851851858E-2</v>
      </c>
      <c r="AN81" s="2">
        <v>0.11753472222222222</v>
      </c>
      <c r="AO81">
        <v>62</v>
      </c>
      <c r="AP81">
        <v>189</v>
      </c>
    </row>
    <row r="82" spans="1:42" x14ac:dyDescent="0.25">
      <c r="A82" t="s">
        <v>104</v>
      </c>
      <c r="B82" s="1">
        <v>45728.431226851855</v>
      </c>
      <c r="C82" t="s">
        <v>95</v>
      </c>
      <c r="D82" t="s">
        <v>95</v>
      </c>
      <c r="E82" t="s">
        <v>106</v>
      </c>
      <c r="F82">
        <v>1.66</v>
      </c>
      <c r="G82">
        <v>162</v>
      </c>
      <c r="H82" s="2">
        <v>3.2418981481481479E-2</v>
      </c>
      <c r="I82">
        <v>100</v>
      </c>
      <c r="J82">
        <v>145</v>
      </c>
      <c r="K82">
        <v>0.9</v>
      </c>
      <c r="L82">
        <v>37</v>
      </c>
      <c r="M82">
        <v>160</v>
      </c>
      <c r="N82" s="6">
        <v>1.1729166666666666</v>
      </c>
      <c r="O82" s="3">
        <v>8.6805555555555552E-2</v>
      </c>
      <c r="P82">
        <v>101</v>
      </c>
      <c r="Q82">
        <v>106</v>
      </c>
      <c r="R82">
        <v>0.95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>
        <v>0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s="4">
        <v>2318</v>
      </c>
      <c r="AE82" t="s">
        <v>41</v>
      </c>
      <c r="AF82" t="s">
        <v>41</v>
      </c>
      <c r="AG82">
        <v>-4</v>
      </c>
      <c r="AH82">
        <v>24</v>
      </c>
      <c r="AI82" t="s">
        <v>42</v>
      </c>
      <c r="AJ82" s="2">
        <v>9.1319444444444443E-3</v>
      </c>
      <c r="AK82">
        <v>2</v>
      </c>
      <c r="AL82">
        <v>29</v>
      </c>
      <c r="AM82" s="2">
        <v>1.5023148148148148E-2</v>
      </c>
      <c r="AN82" s="2">
        <v>3.2418981481481479E-2</v>
      </c>
      <c r="AO82">
        <v>67</v>
      </c>
      <c r="AP82">
        <v>147</v>
      </c>
    </row>
    <row r="83" spans="1:42" x14ac:dyDescent="0.25">
      <c r="A83" t="s">
        <v>104</v>
      </c>
      <c r="B83" s="1">
        <v>45727.758680555555</v>
      </c>
      <c r="C83" t="s">
        <v>96</v>
      </c>
      <c r="D83" t="s">
        <v>207</v>
      </c>
      <c r="E83" t="s">
        <v>106</v>
      </c>
      <c r="F83">
        <v>4.3600000000000003</v>
      </c>
      <c r="G83">
        <v>354</v>
      </c>
      <c r="H83" s="2">
        <v>5.7662037037037039E-2</v>
      </c>
      <c r="I83">
        <v>107</v>
      </c>
      <c r="J83">
        <v>162</v>
      </c>
      <c r="K83">
        <v>2.1</v>
      </c>
      <c r="L83">
        <v>69</v>
      </c>
      <c r="M83">
        <v>167</v>
      </c>
      <c r="N83" s="3">
        <v>0.79374999999999996</v>
      </c>
      <c r="O83" s="3">
        <v>0.29166666666666669</v>
      </c>
      <c r="P83">
        <v>255</v>
      </c>
      <c r="Q83">
        <v>271</v>
      </c>
      <c r="R83">
        <v>0.77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>
        <v>0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s="4">
        <v>6242</v>
      </c>
      <c r="AE83" t="s">
        <v>41</v>
      </c>
      <c r="AF83" t="s">
        <v>41</v>
      </c>
      <c r="AG83">
        <v>-3</v>
      </c>
      <c r="AH83">
        <v>21</v>
      </c>
      <c r="AI83" t="s">
        <v>42</v>
      </c>
      <c r="AJ83" s="5">
        <v>3.0740740740740741E-3</v>
      </c>
      <c r="AK83">
        <v>5</v>
      </c>
      <c r="AL83">
        <v>31</v>
      </c>
      <c r="AM83" s="2">
        <v>4.1215277777777781E-2</v>
      </c>
      <c r="AN83" s="2">
        <v>5.7662037037037039E-2</v>
      </c>
      <c r="AO83">
        <v>7</v>
      </c>
      <c r="AP83">
        <v>234</v>
      </c>
    </row>
    <row r="84" spans="1:42" x14ac:dyDescent="0.25">
      <c r="A84" t="s">
        <v>40</v>
      </c>
      <c r="B84" s="1">
        <v>45726.499826388892</v>
      </c>
      <c r="C84" t="s">
        <v>93</v>
      </c>
      <c r="D84" t="s">
        <v>204</v>
      </c>
      <c r="E84" t="s">
        <v>106</v>
      </c>
      <c r="F84">
        <v>2.63</v>
      </c>
      <c r="G84">
        <v>176</v>
      </c>
      <c r="H84" s="2">
        <v>1.1631944444444445E-2</v>
      </c>
      <c r="I84">
        <v>174</v>
      </c>
      <c r="J84">
        <v>197</v>
      </c>
      <c r="K84">
        <v>3.5</v>
      </c>
      <c r="L84">
        <v>160</v>
      </c>
      <c r="M84">
        <v>169</v>
      </c>
      <c r="N84" s="3">
        <v>0.26527777777777778</v>
      </c>
      <c r="O84" s="3">
        <v>0.20624999999999999</v>
      </c>
      <c r="P84">
        <v>28</v>
      </c>
      <c r="Q84">
        <v>24</v>
      </c>
      <c r="R84">
        <v>0.98</v>
      </c>
      <c r="S84">
        <v>9.4</v>
      </c>
      <c r="T84">
        <v>9.1</v>
      </c>
      <c r="U84">
        <v>281</v>
      </c>
      <c r="V84" s="3">
        <v>0.26319444444444445</v>
      </c>
      <c r="W84">
        <v>300</v>
      </c>
      <c r="X84">
        <v>0</v>
      </c>
      <c r="Y84">
        <v>293</v>
      </c>
      <c r="Z84">
        <v>434</v>
      </c>
      <c r="AA84" t="s">
        <v>41</v>
      </c>
      <c r="AB84" t="s">
        <v>41</v>
      </c>
      <c r="AC84" t="s">
        <v>41</v>
      </c>
      <c r="AD84" s="4">
        <v>2710</v>
      </c>
      <c r="AE84" t="s">
        <v>41</v>
      </c>
      <c r="AF84" t="s">
        <v>41</v>
      </c>
      <c r="AG84">
        <v>-6</v>
      </c>
      <c r="AH84">
        <v>29</v>
      </c>
      <c r="AI84" t="s">
        <v>42</v>
      </c>
      <c r="AJ84" s="5">
        <v>2.5810185185185185E-3</v>
      </c>
      <c r="AK84">
        <v>3</v>
      </c>
      <c r="AL84">
        <v>32</v>
      </c>
      <c r="AM84" s="2">
        <v>1.1620370370370371E-2</v>
      </c>
      <c r="AN84" s="2">
        <v>1.1631944444444445E-2</v>
      </c>
      <c r="AO84">
        <v>4</v>
      </c>
      <c r="AP84">
        <v>17</v>
      </c>
    </row>
    <row r="85" spans="1:42" x14ac:dyDescent="0.25">
      <c r="A85" t="s">
        <v>104</v>
      </c>
      <c r="B85" s="1">
        <v>45726.463090277779</v>
      </c>
      <c r="C85" t="s">
        <v>97</v>
      </c>
      <c r="D85" t="s">
        <v>206</v>
      </c>
      <c r="E85" t="s">
        <v>106</v>
      </c>
      <c r="F85">
        <v>3.02</v>
      </c>
      <c r="G85">
        <v>210</v>
      </c>
      <c r="H85" s="2">
        <v>2.929398148148148E-2</v>
      </c>
      <c r="I85">
        <v>117</v>
      </c>
      <c r="J85">
        <v>162</v>
      </c>
      <c r="K85">
        <v>1.5</v>
      </c>
      <c r="L85">
        <v>89</v>
      </c>
      <c r="M85">
        <v>158</v>
      </c>
      <c r="N85" s="3">
        <v>0.58125000000000004</v>
      </c>
      <c r="O85" s="3">
        <v>0.25486111111111109</v>
      </c>
      <c r="P85">
        <v>48</v>
      </c>
      <c r="Q85">
        <v>72</v>
      </c>
      <c r="R85">
        <v>0.8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>
        <v>0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s="4">
        <v>4046</v>
      </c>
      <c r="AE85" t="s">
        <v>41</v>
      </c>
      <c r="AF85" t="s">
        <v>41</v>
      </c>
      <c r="AG85">
        <v>-6</v>
      </c>
      <c r="AH85">
        <v>25</v>
      </c>
      <c r="AI85" t="s">
        <v>42</v>
      </c>
      <c r="AJ85" s="5">
        <v>1.7129629629629632E-4</v>
      </c>
      <c r="AK85">
        <v>4</v>
      </c>
      <c r="AL85">
        <v>30</v>
      </c>
      <c r="AM85" s="2">
        <v>2.5162037037037038E-2</v>
      </c>
      <c r="AN85" s="2">
        <v>3.5891203703703703E-2</v>
      </c>
      <c r="AO85">
        <v>-7</v>
      </c>
      <c r="AP85">
        <v>23</v>
      </c>
    </row>
    <row r="86" spans="1:42" x14ac:dyDescent="0.25">
      <c r="A86" t="s">
        <v>40</v>
      </c>
      <c r="B86" s="1">
        <v>45726.448738425926</v>
      </c>
      <c r="C86" t="s">
        <v>93</v>
      </c>
      <c r="D86" t="s">
        <v>204</v>
      </c>
      <c r="E86" t="s">
        <v>106</v>
      </c>
      <c r="F86">
        <v>2.79</v>
      </c>
      <c r="G86">
        <v>184</v>
      </c>
      <c r="H86" s="2">
        <v>1.269675925925926E-2</v>
      </c>
      <c r="I86">
        <v>167</v>
      </c>
      <c r="J86">
        <v>187</v>
      </c>
      <c r="K86">
        <v>3.4</v>
      </c>
      <c r="L86">
        <v>162</v>
      </c>
      <c r="M86">
        <v>169</v>
      </c>
      <c r="N86" s="3">
        <v>0.27291666666666664</v>
      </c>
      <c r="O86" s="3">
        <v>0.21944444444444444</v>
      </c>
      <c r="P86">
        <v>14</v>
      </c>
      <c r="Q86">
        <v>13</v>
      </c>
      <c r="R86">
        <v>0.94</v>
      </c>
      <c r="S86">
        <v>9.5</v>
      </c>
      <c r="T86">
        <v>8.9</v>
      </c>
      <c r="U86">
        <v>281</v>
      </c>
      <c r="V86" s="3">
        <v>0.27361111111111114</v>
      </c>
      <c r="W86">
        <v>255</v>
      </c>
      <c r="X86">
        <v>0</v>
      </c>
      <c r="Y86">
        <v>254</v>
      </c>
      <c r="Z86">
        <v>336</v>
      </c>
      <c r="AA86" t="s">
        <v>41</v>
      </c>
      <c r="AB86" t="s">
        <v>41</v>
      </c>
      <c r="AC86" t="s">
        <v>41</v>
      </c>
      <c r="AD86" s="4">
        <v>2954</v>
      </c>
      <c r="AE86" t="s">
        <v>41</v>
      </c>
      <c r="AF86" t="s">
        <v>41</v>
      </c>
      <c r="AG86">
        <v>-6</v>
      </c>
      <c r="AH86">
        <v>27</v>
      </c>
      <c r="AI86" t="s">
        <v>42</v>
      </c>
      <c r="AJ86" s="5">
        <v>3.5069444444444445E-3</v>
      </c>
      <c r="AK86">
        <v>3</v>
      </c>
      <c r="AL86">
        <v>31</v>
      </c>
      <c r="AM86" s="2">
        <v>1.2685185185185185E-2</v>
      </c>
      <c r="AN86" s="2">
        <v>1.269675925925926E-2</v>
      </c>
      <c r="AO86">
        <v>9</v>
      </c>
      <c r="AP86">
        <v>15</v>
      </c>
    </row>
    <row r="87" spans="1:42" x14ac:dyDescent="0.25">
      <c r="A87" t="s">
        <v>40</v>
      </c>
      <c r="B87" s="1">
        <v>45725.800358796296</v>
      </c>
      <c r="C87" t="s">
        <v>93</v>
      </c>
      <c r="D87" t="s">
        <v>204</v>
      </c>
      <c r="E87" t="s">
        <v>106</v>
      </c>
      <c r="F87">
        <v>5.05</v>
      </c>
      <c r="G87">
        <v>336</v>
      </c>
      <c r="H87" s="2">
        <v>2.5150462962962961E-2</v>
      </c>
      <c r="I87">
        <v>162</v>
      </c>
      <c r="J87">
        <v>188</v>
      </c>
      <c r="K87">
        <v>3.9</v>
      </c>
      <c r="L87">
        <v>158</v>
      </c>
      <c r="M87">
        <v>224</v>
      </c>
      <c r="N87" s="3">
        <v>0.2986111111111111</v>
      </c>
      <c r="O87" s="3">
        <v>0.21597222222222223</v>
      </c>
      <c r="P87">
        <v>31</v>
      </c>
      <c r="Q87">
        <v>24</v>
      </c>
      <c r="R87">
        <v>0.88</v>
      </c>
      <c r="S87">
        <v>9.9</v>
      </c>
      <c r="T87">
        <v>8.8000000000000007</v>
      </c>
      <c r="U87">
        <v>292</v>
      </c>
      <c r="V87" s="3">
        <v>0.29652777777777778</v>
      </c>
      <c r="W87">
        <v>253</v>
      </c>
      <c r="X87">
        <v>0</v>
      </c>
      <c r="Y87">
        <v>247</v>
      </c>
      <c r="Z87">
        <v>381</v>
      </c>
      <c r="AA87" t="s">
        <v>41</v>
      </c>
      <c r="AB87" t="s">
        <v>41</v>
      </c>
      <c r="AC87" t="s">
        <v>41</v>
      </c>
      <c r="AD87" s="4">
        <v>5714</v>
      </c>
      <c r="AE87" t="s">
        <v>41</v>
      </c>
      <c r="AF87" t="s">
        <v>41</v>
      </c>
      <c r="AG87">
        <v>-6</v>
      </c>
      <c r="AH87">
        <v>24</v>
      </c>
      <c r="AI87" t="s">
        <v>42</v>
      </c>
      <c r="AJ87" s="5">
        <v>2.6504629629629626E-4</v>
      </c>
      <c r="AK87">
        <v>6</v>
      </c>
      <c r="AL87">
        <v>30</v>
      </c>
      <c r="AM87" s="2">
        <v>2.5023148148148149E-2</v>
      </c>
      <c r="AN87" s="2">
        <v>2.5150462962962961E-2</v>
      </c>
      <c r="AO87">
        <v>3</v>
      </c>
      <c r="AP87">
        <v>16</v>
      </c>
    </row>
    <row r="88" spans="1:42" x14ac:dyDescent="0.25">
      <c r="A88" t="s">
        <v>104</v>
      </c>
      <c r="B88" s="1">
        <v>45724.663368055553</v>
      </c>
      <c r="C88" t="s">
        <v>98</v>
      </c>
      <c r="D88" t="s">
        <v>205</v>
      </c>
      <c r="E88" t="s">
        <v>106</v>
      </c>
      <c r="F88">
        <v>1.22</v>
      </c>
      <c r="G88">
        <v>251</v>
      </c>
      <c r="H88" s="2">
        <v>3.3344907407407406E-2</v>
      </c>
      <c r="I88">
        <v>128</v>
      </c>
      <c r="J88">
        <v>163</v>
      </c>
      <c r="K88">
        <v>2.2999999999999998</v>
      </c>
      <c r="L88">
        <v>40</v>
      </c>
      <c r="M88">
        <v>160</v>
      </c>
      <c r="N88" s="6">
        <v>1.6416666666666666</v>
      </c>
      <c r="O88" s="3">
        <v>0.44027777777777777</v>
      </c>
      <c r="P88">
        <v>137</v>
      </c>
      <c r="Q88">
        <v>137</v>
      </c>
      <c r="R88">
        <v>0.64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>
        <v>0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s="4">
        <v>2282</v>
      </c>
      <c r="AE88" t="s">
        <v>41</v>
      </c>
      <c r="AF88" t="s">
        <v>41</v>
      </c>
      <c r="AG88">
        <v>-4</v>
      </c>
      <c r="AH88">
        <v>26</v>
      </c>
      <c r="AI88" t="s">
        <v>42</v>
      </c>
      <c r="AJ88" s="5">
        <v>3.8796296296296296E-3</v>
      </c>
      <c r="AK88">
        <v>2</v>
      </c>
      <c r="AL88">
        <v>30</v>
      </c>
      <c r="AM88" s="2">
        <v>1.5046296296296295E-2</v>
      </c>
      <c r="AN88" s="2">
        <v>3.3344907407407406E-2</v>
      </c>
      <c r="AO88">
        <v>71</v>
      </c>
      <c r="AP88">
        <v>191</v>
      </c>
    </row>
    <row r="89" spans="1:42" x14ac:dyDescent="0.25">
      <c r="A89" t="s">
        <v>40</v>
      </c>
      <c r="B89" s="1">
        <v>45724.458796296298</v>
      </c>
      <c r="C89" t="s">
        <v>93</v>
      </c>
      <c r="D89" t="s">
        <v>204</v>
      </c>
      <c r="E89" t="s">
        <v>106</v>
      </c>
      <c r="F89">
        <v>5.88</v>
      </c>
      <c r="G89">
        <v>399</v>
      </c>
      <c r="H89" s="2">
        <v>2.9456018518518517E-2</v>
      </c>
      <c r="I89">
        <v>164</v>
      </c>
      <c r="J89">
        <v>187</v>
      </c>
      <c r="K89">
        <v>4.0999999999999996</v>
      </c>
      <c r="L89">
        <v>155</v>
      </c>
      <c r="M89">
        <v>169</v>
      </c>
      <c r="N89" s="3">
        <v>0.30069444444444443</v>
      </c>
      <c r="O89" s="3">
        <v>0.23680555555555555</v>
      </c>
      <c r="P89">
        <v>45</v>
      </c>
      <c r="Q89">
        <v>45</v>
      </c>
      <c r="R89">
        <v>0.9</v>
      </c>
      <c r="S89">
        <v>9.6999999999999993</v>
      </c>
      <c r="T89">
        <v>8.6999999999999993</v>
      </c>
      <c r="U89">
        <v>287</v>
      </c>
      <c r="V89" s="3">
        <v>0.29791666666666666</v>
      </c>
      <c r="W89">
        <v>250</v>
      </c>
      <c r="X89">
        <v>0</v>
      </c>
      <c r="Y89">
        <v>239</v>
      </c>
      <c r="Z89">
        <v>400</v>
      </c>
      <c r="AA89" t="s">
        <v>41</v>
      </c>
      <c r="AB89" t="s">
        <v>41</v>
      </c>
      <c r="AC89" t="s">
        <v>41</v>
      </c>
      <c r="AD89" s="4">
        <v>6576</v>
      </c>
      <c r="AE89" t="s">
        <v>41</v>
      </c>
      <c r="AF89" t="s">
        <v>41</v>
      </c>
      <c r="AG89">
        <v>-14</v>
      </c>
      <c r="AH89">
        <v>25</v>
      </c>
      <c r="AI89" t="s">
        <v>42</v>
      </c>
      <c r="AJ89" s="5">
        <v>3.9074074074074081E-3</v>
      </c>
      <c r="AK89">
        <v>6</v>
      </c>
      <c r="AL89">
        <v>29</v>
      </c>
      <c r="AM89" s="2">
        <v>2.9050925925925924E-2</v>
      </c>
      <c r="AN89" s="2">
        <v>5.1168981481481482E-2</v>
      </c>
      <c r="AO89">
        <v>-1</v>
      </c>
      <c r="AP89">
        <v>22</v>
      </c>
    </row>
    <row r="90" spans="1:42" x14ac:dyDescent="0.25">
      <c r="A90" t="s">
        <v>104</v>
      </c>
      <c r="B90" s="1">
        <v>45723.807581018518</v>
      </c>
      <c r="C90" t="s">
        <v>97</v>
      </c>
      <c r="D90" t="s">
        <v>206</v>
      </c>
      <c r="E90" t="s">
        <v>106</v>
      </c>
      <c r="F90">
        <v>3.16</v>
      </c>
      <c r="G90">
        <v>290</v>
      </c>
      <c r="H90" s="2">
        <v>4.5300925925925925E-2</v>
      </c>
      <c r="I90">
        <v>125</v>
      </c>
      <c r="J90">
        <v>173</v>
      </c>
      <c r="K90">
        <v>2.4</v>
      </c>
      <c r="L90">
        <v>71</v>
      </c>
      <c r="M90">
        <v>160</v>
      </c>
      <c r="N90" s="3">
        <v>0.85972222222222228</v>
      </c>
      <c r="O90" s="3">
        <v>0.3611111111111111</v>
      </c>
      <c r="P90">
        <v>169</v>
      </c>
      <c r="Q90">
        <v>238</v>
      </c>
      <c r="R90">
        <v>0.69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>
        <v>0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s="4">
        <v>4966</v>
      </c>
      <c r="AE90" t="s">
        <v>41</v>
      </c>
      <c r="AF90" t="s">
        <v>41</v>
      </c>
      <c r="AG90">
        <v>-5</v>
      </c>
      <c r="AH90">
        <v>24</v>
      </c>
      <c r="AI90" t="s">
        <v>42</v>
      </c>
      <c r="AJ90" s="5">
        <v>3.8032407407407411E-3</v>
      </c>
      <c r="AK90">
        <v>4</v>
      </c>
      <c r="AL90">
        <v>28</v>
      </c>
      <c r="AM90" s="2">
        <v>3.4270833333333334E-2</v>
      </c>
      <c r="AN90" s="2">
        <v>4.5300925925925925E-2</v>
      </c>
      <c r="AO90">
        <v>4</v>
      </c>
      <c r="AP90">
        <v>238</v>
      </c>
    </row>
    <row r="91" spans="1:42" x14ac:dyDescent="0.25">
      <c r="A91" t="s">
        <v>104</v>
      </c>
      <c r="B91" s="1">
        <v>45722.762384259258</v>
      </c>
      <c r="C91" t="s">
        <v>99</v>
      </c>
      <c r="D91" t="s">
        <v>203</v>
      </c>
      <c r="E91" t="s">
        <v>106</v>
      </c>
      <c r="F91">
        <v>3.33</v>
      </c>
      <c r="G91">
        <v>424</v>
      </c>
      <c r="H91" s="2">
        <v>4.5127314814814815E-2</v>
      </c>
      <c r="I91">
        <v>157</v>
      </c>
      <c r="J91">
        <v>191</v>
      </c>
      <c r="K91">
        <v>3.7</v>
      </c>
      <c r="L91">
        <v>57</v>
      </c>
      <c r="M91">
        <v>222</v>
      </c>
      <c r="N91" s="3">
        <v>0.8125</v>
      </c>
      <c r="O91" s="3">
        <v>0.28819444444444442</v>
      </c>
      <c r="P91">
        <v>224</v>
      </c>
      <c r="Q91">
        <v>248</v>
      </c>
      <c r="R91">
        <v>0.9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>
        <v>0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s="4">
        <v>5070</v>
      </c>
      <c r="AE91" t="s">
        <v>41</v>
      </c>
      <c r="AF91" t="s">
        <v>41</v>
      </c>
      <c r="AG91">
        <v>-9</v>
      </c>
      <c r="AH91">
        <v>24</v>
      </c>
      <c r="AI91" t="s">
        <v>42</v>
      </c>
      <c r="AJ91" s="5">
        <v>3.7928240740740739E-3</v>
      </c>
      <c r="AK91">
        <v>4</v>
      </c>
      <c r="AL91">
        <v>28</v>
      </c>
      <c r="AM91" s="2">
        <v>3.005787037037037E-2</v>
      </c>
      <c r="AN91" s="2">
        <v>4.5127314814814815E-2</v>
      </c>
      <c r="AO91">
        <v>46</v>
      </c>
      <c r="AP91">
        <v>268</v>
      </c>
    </row>
    <row r="92" spans="1:42" x14ac:dyDescent="0.25">
      <c r="A92" t="s">
        <v>104</v>
      </c>
      <c r="B92" s="1">
        <v>45722.620011574072</v>
      </c>
      <c r="C92" t="s">
        <v>100</v>
      </c>
      <c r="D92" t="s">
        <v>202</v>
      </c>
      <c r="E92" t="s">
        <v>106</v>
      </c>
      <c r="F92">
        <v>3.97</v>
      </c>
      <c r="G92">
        <v>495</v>
      </c>
      <c r="H92" s="2">
        <v>6.6076388888888893E-2</v>
      </c>
      <c r="I92">
        <v>138</v>
      </c>
      <c r="J92">
        <v>191</v>
      </c>
      <c r="K92">
        <v>3.3</v>
      </c>
      <c r="L92">
        <v>72</v>
      </c>
      <c r="M92">
        <v>193</v>
      </c>
      <c r="N92" s="3">
        <v>0.99791666666666667</v>
      </c>
      <c r="O92" s="3">
        <v>0.41805555555555557</v>
      </c>
      <c r="P92">
        <v>377</v>
      </c>
      <c r="Q92">
        <v>369</v>
      </c>
      <c r="R92">
        <v>0.56000000000000005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>
        <v>0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s="4">
        <v>7484</v>
      </c>
      <c r="AE92" t="s">
        <v>41</v>
      </c>
      <c r="AF92" t="s">
        <v>41</v>
      </c>
      <c r="AG92">
        <v>-11</v>
      </c>
      <c r="AH92">
        <v>24</v>
      </c>
      <c r="AI92" t="s">
        <v>42</v>
      </c>
      <c r="AJ92" s="2">
        <v>1.0231481481481482E-2</v>
      </c>
      <c r="AK92">
        <v>4</v>
      </c>
      <c r="AL92">
        <v>34</v>
      </c>
      <c r="AM92" s="2">
        <v>4.4386574074074071E-2</v>
      </c>
      <c r="AN92" s="2">
        <v>6.6076388888888893E-2</v>
      </c>
      <c r="AO92">
        <v>27</v>
      </c>
      <c r="AP92">
        <v>380</v>
      </c>
    </row>
    <row r="93" spans="1:42" x14ac:dyDescent="0.25">
      <c r="A93" t="s">
        <v>104</v>
      </c>
      <c r="B93" s="1">
        <v>45717.432303240741</v>
      </c>
      <c r="C93" t="s">
        <v>101</v>
      </c>
      <c r="D93" t="s">
        <v>200</v>
      </c>
      <c r="E93" t="s">
        <v>106</v>
      </c>
      <c r="F93">
        <v>3.6</v>
      </c>
      <c r="G93">
        <v>524</v>
      </c>
      <c r="H93" s="2">
        <v>8.5173611111111117E-2</v>
      </c>
      <c r="I93">
        <v>125</v>
      </c>
      <c r="J93">
        <v>188</v>
      </c>
      <c r="K93">
        <v>3.8</v>
      </c>
      <c r="L93">
        <v>47</v>
      </c>
      <c r="M93">
        <v>167</v>
      </c>
      <c r="N93" s="6">
        <v>1.4201388888888888</v>
      </c>
      <c r="O93" s="3">
        <v>0.31944444444444442</v>
      </c>
      <c r="P93">
        <v>333</v>
      </c>
      <c r="Q93">
        <v>316</v>
      </c>
      <c r="R93">
        <v>0.66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>
        <v>0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s="4">
        <v>6420</v>
      </c>
      <c r="AE93" t="s">
        <v>41</v>
      </c>
      <c r="AF93" t="s">
        <v>41</v>
      </c>
      <c r="AG93">
        <v>-5</v>
      </c>
      <c r="AH93">
        <v>27</v>
      </c>
      <c r="AI93" t="s">
        <v>42</v>
      </c>
      <c r="AJ93" s="2">
        <v>1.2430555555555556E-2</v>
      </c>
      <c r="AK93">
        <v>4</v>
      </c>
      <c r="AL93">
        <v>31</v>
      </c>
      <c r="AM93" s="2">
        <v>4.1018518518518517E-2</v>
      </c>
      <c r="AN93" s="2">
        <v>9.402777777777778E-2</v>
      </c>
      <c r="AO93">
        <v>74</v>
      </c>
      <c r="AP93">
        <v>403</v>
      </c>
    </row>
    <row r="94" spans="1:42" x14ac:dyDescent="0.25">
      <c r="A94" t="s">
        <v>104</v>
      </c>
      <c r="B94" s="1">
        <v>45716.719675925924</v>
      </c>
      <c r="C94" t="s">
        <v>101</v>
      </c>
      <c r="D94" t="s">
        <v>201</v>
      </c>
      <c r="E94" t="s">
        <v>106</v>
      </c>
      <c r="F94">
        <v>6.43</v>
      </c>
      <c r="G94">
        <v>448</v>
      </c>
      <c r="H94" s="2">
        <v>7.3437500000000003E-2</v>
      </c>
      <c r="I94">
        <v>108</v>
      </c>
      <c r="J94">
        <v>161</v>
      </c>
      <c r="K94">
        <v>2.1</v>
      </c>
      <c r="L94">
        <v>81</v>
      </c>
      <c r="M94">
        <v>158</v>
      </c>
      <c r="N94" s="3">
        <v>0.68541666666666667</v>
      </c>
      <c r="O94" s="3">
        <v>0.26458333333333334</v>
      </c>
      <c r="P94">
        <v>158</v>
      </c>
      <c r="Q94">
        <v>162</v>
      </c>
      <c r="R94">
        <v>0.75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>
        <v>0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s="4">
        <v>8936</v>
      </c>
      <c r="AE94" t="s">
        <v>41</v>
      </c>
      <c r="AF94" t="s">
        <v>41</v>
      </c>
      <c r="AG94">
        <v>-5</v>
      </c>
      <c r="AH94">
        <v>28</v>
      </c>
      <c r="AI94" t="s">
        <v>42</v>
      </c>
      <c r="AJ94" s="5">
        <v>1.5046296296296297E-5</v>
      </c>
      <c r="AK94">
        <v>10</v>
      </c>
      <c r="AL94">
        <v>33</v>
      </c>
      <c r="AM94" s="2">
        <v>6.0798611111111109E-2</v>
      </c>
      <c r="AN94" s="2">
        <v>7.3437500000000003E-2</v>
      </c>
      <c r="AO94">
        <v>31</v>
      </c>
      <c r="AP94">
        <v>90</v>
      </c>
    </row>
    <row r="95" spans="1:42" x14ac:dyDescent="0.25">
      <c r="A95" t="s">
        <v>104</v>
      </c>
      <c r="B95" s="1">
        <v>45714.696493055555</v>
      </c>
      <c r="C95" t="s">
        <v>102</v>
      </c>
      <c r="D95" t="s">
        <v>198</v>
      </c>
      <c r="E95" t="s">
        <v>106</v>
      </c>
      <c r="F95">
        <v>1.85</v>
      </c>
      <c r="G95">
        <v>140</v>
      </c>
      <c r="H95" s="2">
        <v>1.6863425925925928E-2</v>
      </c>
      <c r="I95">
        <v>145</v>
      </c>
      <c r="J95">
        <v>167</v>
      </c>
      <c r="K95">
        <v>2</v>
      </c>
      <c r="L95">
        <v>99</v>
      </c>
      <c r="M95">
        <v>158</v>
      </c>
      <c r="N95" s="3">
        <v>0.54722222222222228</v>
      </c>
      <c r="O95" s="3">
        <v>0.3034722222222222</v>
      </c>
      <c r="P95">
        <v>29</v>
      </c>
      <c r="Q95">
        <v>40</v>
      </c>
      <c r="R95">
        <v>0.77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>
        <v>0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s="4">
        <v>2442</v>
      </c>
      <c r="AE95" t="s">
        <v>41</v>
      </c>
      <c r="AF95" t="s">
        <v>41</v>
      </c>
      <c r="AG95">
        <v>-2</v>
      </c>
      <c r="AH95">
        <v>30</v>
      </c>
      <c r="AI95" t="s">
        <v>42</v>
      </c>
      <c r="AJ95" s="2">
        <v>8.3796296296296292E-3</v>
      </c>
      <c r="AK95">
        <v>2</v>
      </c>
      <c r="AL95">
        <v>35</v>
      </c>
      <c r="AM95" s="2">
        <v>1.6041666666666666E-2</v>
      </c>
      <c r="AN95" s="2">
        <v>1.6863425925925928E-2</v>
      </c>
      <c r="AO95">
        <v>6</v>
      </c>
      <c r="AP95">
        <v>39</v>
      </c>
    </row>
    <row r="96" spans="1:42" x14ac:dyDescent="0.25">
      <c r="A96" t="s">
        <v>104</v>
      </c>
      <c r="B96" s="1">
        <v>45714.489884259259</v>
      </c>
      <c r="C96" t="s">
        <v>102</v>
      </c>
      <c r="D96" t="s">
        <v>198</v>
      </c>
      <c r="E96" t="s">
        <v>106</v>
      </c>
      <c r="F96">
        <v>5.42</v>
      </c>
      <c r="G96">
        <v>563</v>
      </c>
      <c r="H96" s="2">
        <v>7.5393518518518512E-2</v>
      </c>
      <c r="I96">
        <v>141</v>
      </c>
      <c r="J96">
        <v>187</v>
      </c>
      <c r="K96">
        <v>3.2</v>
      </c>
      <c r="L96">
        <v>68</v>
      </c>
      <c r="M96">
        <v>160</v>
      </c>
      <c r="N96" s="3">
        <v>0.83333333333333337</v>
      </c>
      <c r="O96" s="3">
        <v>0.34166666666666667</v>
      </c>
      <c r="P96">
        <v>216</v>
      </c>
      <c r="Q96">
        <v>223</v>
      </c>
      <c r="R96">
        <v>0.75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>
        <v>0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s="4">
        <v>7934</v>
      </c>
      <c r="AE96" t="s">
        <v>41</v>
      </c>
      <c r="AF96" t="s">
        <v>41</v>
      </c>
      <c r="AG96">
        <v>-13</v>
      </c>
      <c r="AH96">
        <v>30</v>
      </c>
      <c r="AI96" t="s">
        <v>42</v>
      </c>
      <c r="AJ96" s="2">
        <v>9.8379629629629633E-3</v>
      </c>
      <c r="AK96">
        <v>6</v>
      </c>
      <c r="AL96">
        <v>37</v>
      </c>
      <c r="AM96" s="2">
        <v>5.2569444444444446E-2</v>
      </c>
      <c r="AN96" s="2">
        <v>7.5393518518518512E-2</v>
      </c>
      <c r="AO96">
        <v>7</v>
      </c>
      <c r="AP96">
        <v>67</v>
      </c>
    </row>
    <row r="97" spans="1:42" x14ac:dyDescent="0.25">
      <c r="A97" t="s">
        <v>40</v>
      </c>
      <c r="B97" s="1">
        <v>45712.365995370368</v>
      </c>
      <c r="C97" t="s">
        <v>103</v>
      </c>
      <c r="D97" t="s">
        <v>196</v>
      </c>
      <c r="E97" t="s">
        <v>106</v>
      </c>
      <c r="F97">
        <v>6.58</v>
      </c>
      <c r="G97">
        <v>452</v>
      </c>
      <c r="H97" s="2">
        <v>3.2349537037037038E-2</v>
      </c>
      <c r="I97">
        <v>173</v>
      </c>
      <c r="J97">
        <v>186</v>
      </c>
      <c r="K97">
        <v>5</v>
      </c>
      <c r="L97">
        <v>159</v>
      </c>
      <c r="M97">
        <v>170</v>
      </c>
      <c r="N97" s="3">
        <v>0.2951388888888889</v>
      </c>
      <c r="O97" s="3">
        <v>0.22916666666666666</v>
      </c>
      <c r="P97">
        <v>77</v>
      </c>
      <c r="Q97">
        <v>77</v>
      </c>
      <c r="R97">
        <v>0.88</v>
      </c>
      <c r="S97">
        <v>9.8000000000000007</v>
      </c>
      <c r="T97">
        <v>8.6999999999999993</v>
      </c>
      <c r="U97">
        <v>286</v>
      </c>
      <c r="V97" s="3">
        <v>0.29097222222222224</v>
      </c>
      <c r="W97">
        <v>254</v>
      </c>
      <c r="X97">
        <v>0</v>
      </c>
      <c r="Y97">
        <v>247</v>
      </c>
      <c r="Z97">
        <v>380</v>
      </c>
      <c r="AA97" t="s">
        <v>41</v>
      </c>
      <c r="AB97" t="s">
        <v>41</v>
      </c>
      <c r="AC97" t="s">
        <v>41</v>
      </c>
      <c r="AD97" s="4">
        <v>7440</v>
      </c>
      <c r="AE97" t="s">
        <v>41</v>
      </c>
      <c r="AF97" t="s">
        <v>41</v>
      </c>
      <c r="AG97">
        <v>-21</v>
      </c>
      <c r="AH97">
        <v>23</v>
      </c>
      <c r="AI97" t="s">
        <v>42</v>
      </c>
      <c r="AJ97" s="5">
        <v>2.7893518518518519E-3</v>
      </c>
      <c r="AK97">
        <v>7</v>
      </c>
      <c r="AL97">
        <v>29</v>
      </c>
      <c r="AM97" s="2">
        <v>3.2002314814814817E-2</v>
      </c>
      <c r="AN97" s="2">
        <v>3.3888888888888892E-2</v>
      </c>
      <c r="AO97">
        <v>77</v>
      </c>
      <c r="AP97">
        <v>129</v>
      </c>
    </row>
    <row r="98" spans="1:42" x14ac:dyDescent="0.25">
      <c r="A98" t="s">
        <v>40</v>
      </c>
      <c r="B98" s="1">
        <v>45711.679976851854</v>
      </c>
      <c r="C98" t="s">
        <v>75</v>
      </c>
      <c r="D98" t="s">
        <v>197</v>
      </c>
      <c r="E98" t="s">
        <v>106</v>
      </c>
      <c r="F98">
        <v>0</v>
      </c>
      <c r="G98">
        <v>35</v>
      </c>
      <c r="H98" s="5">
        <v>6.3194444444444444E-3</v>
      </c>
      <c r="I98">
        <v>102</v>
      </c>
      <c r="J98">
        <v>125</v>
      </c>
      <c r="K98">
        <v>0.3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>
        <v>0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>
        <v>126</v>
      </c>
      <c r="AE98">
        <v>63</v>
      </c>
      <c r="AF98">
        <v>3</v>
      </c>
      <c r="AG98">
        <v>-1</v>
      </c>
      <c r="AH98">
        <v>30</v>
      </c>
      <c r="AI98" t="s">
        <v>42</v>
      </c>
      <c r="AJ98" s="5">
        <v>6.3194444444444444E-3</v>
      </c>
      <c r="AK98">
        <v>1</v>
      </c>
      <c r="AL98">
        <v>32</v>
      </c>
      <c r="AM98" s="5">
        <v>3.414351851851852E-3</v>
      </c>
      <c r="AN98" s="5">
        <v>6.3194444444444444E-3</v>
      </c>
      <c r="AO98" t="s">
        <v>41</v>
      </c>
      <c r="AP98" t="s">
        <v>41</v>
      </c>
    </row>
    <row r="99" spans="1:42" x14ac:dyDescent="0.25">
      <c r="A99" t="s">
        <v>40</v>
      </c>
      <c r="B99" s="1">
        <v>45710.32304398148</v>
      </c>
      <c r="C99" t="s">
        <v>103</v>
      </c>
      <c r="D99" t="s">
        <v>196</v>
      </c>
      <c r="E99" t="s">
        <v>106</v>
      </c>
      <c r="F99">
        <v>4.9800000000000004</v>
      </c>
      <c r="G99">
        <v>321</v>
      </c>
      <c r="H99" s="2">
        <v>2.4166666666666666E-2</v>
      </c>
      <c r="I99">
        <v>167</v>
      </c>
      <c r="J99">
        <v>183</v>
      </c>
      <c r="K99">
        <v>4.5</v>
      </c>
      <c r="L99">
        <v>156</v>
      </c>
      <c r="M99">
        <v>225</v>
      </c>
      <c r="N99" s="3">
        <v>0.29097222222222224</v>
      </c>
      <c r="O99" s="3">
        <v>0.23958333333333334</v>
      </c>
      <c r="P99">
        <v>66</v>
      </c>
      <c r="Q99">
        <v>76</v>
      </c>
      <c r="R99">
        <v>0.92</v>
      </c>
      <c r="S99">
        <v>9.6</v>
      </c>
      <c r="T99">
        <v>8.8000000000000007</v>
      </c>
      <c r="U99">
        <v>286</v>
      </c>
      <c r="V99" t="s">
        <v>41</v>
      </c>
      <c r="W99">
        <v>263</v>
      </c>
      <c r="X99">
        <v>0</v>
      </c>
      <c r="Y99">
        <v>252</v>
      </c>
      <c r="Z99">
        <v>398</v>
      </c>
      <c r="AA99" t="s">
        <v>41</v>
      </c>
      <c r="AB99" t="s">
        <v>41</v>
      </c>
      <c r="AC99" t="s">
        <v>41</v>
      </c>
      <c r="AD99" s="4">
        <v>5430</v>
      </c>
      <c r="AE99" t="s">
        <v>41</v>
      </c>
      <c r="AF99" t="s">
        <v>41</v>
      </c>
      <c r="AG99">
        <v>-14</v>
      </c>
      <c r="AH99">
        <v>22</v>
      </c>
      <c r="AI99" t="s">
        <v>42</v>
      </c>
      <c r="AJ99" s="5">
        <v>4.3252314814814811E-3</v>
      </c>
      <c r="AK99">
        <v>5</v>
      </c>
      <c r="AL99">
        <v>26</v>
      </c>
      <c r="AM99" s="2">
        <v>2.3773148148148147E-2</v>
      </c>
      <c r="AN99" s="2">
        <v>2.6053240740740741E-2</v>
      </c>
      <c r="AO99">
        <v>75</v>
      </c>
      <c r="AP99">
        <v>132</v>
      </c>
    </row>
    <row r="100" spans="1:42" x14ac:dyDescent="0.25">
      <c r="A100" t="s">
        <v>40</v>
      </c>
      <c r="B100" s="1">
        <v>45709.307430555556</v>
      </c>
      <c r="C100" t="s">
        <v>103</v>
      </c>
      <c r="D100" t="s">
        <v>196</v>
      </c>
      <c r="E100" t="s">
        <v>106</v>
      </c>
      <c r="F100">
        <v>7.14</v>
      </c>
      <c r="G100">
        <v>483</v>
      </c>
      <c r="H100" s="2">
        <v>3.9629629629629633E-2</v>
      </c>
      <c r="I100">
        <v>163</v>
      </c>
      <c r="J100">
        <v>192</v>
      </c>
      <c r="K100">
        <v>5</v>
      </c>
      <c r="L100">
        <v>145</v>
      </c>
      <c r="M100">
        <v>170</v>
      </c>
      <c r="N100" s="3">
        <v>0.33333333333333331</v>
      </c>
      <c r="O100" s="3">
        <v>0.24097222222222223</v>
      </c>
      <c r="P100">
        <v>131</v>
      </c>
      <c r="Q100">
        <v>108</v>
      </c>
      <c r="R100">
        <v>0.86</v>
      </c>
      <c r="S100">
        <v>9.9</v>
      </c>
      <c r="T100">
        <v>8.4</v>
      </c>
      <c r="U100">
        <v>291</v>
      </c>
      <c r="V100" t="s">
        <v>41</v>
      </c>
      <c r="W100">
        <v>243</v>
      </c>
      <c r="X100">
        <v>0</v>
      </c>
      <c r="Y100">
        <v>220</v>
      </c>
      <c r="Z100">
        <v>391</v>
      </c>
      <c r="AA100" t="s">
        <v>41</v>
      </c>
      <c r="AB100" t="s">
        <v>41</v>
      </c>
      <c r="AC100" t="s">
        <v>41</v>
      </c>
      <c r="AD100" s="4">
        <v>8354</v>
      </c>
      <c r="AE100" t="s">
        <v>41</v>
      </c>
      <c r="AF100" t="s">
        <v>41</v>
      </c>
      <c r="AG100">
        <v>-27</v>
      </c>
      <c r="AH100">
        <v>23</v>
      </c>
      <c r="AI100" t="s">
        <v>42</v>
      </c>
      <c r="AJ100" s="5">
        <v>7.4652777777777781E-4</v>
      </c>
      <c r="AK100">
        <v>8</v>
      </c>
      <c r="AL100">
        <v>28</v>
      </c>
      <c r="AM100" s="2">
        <v>3.7499999999999999E-2</v>
      </c>
      <c r="AN100" s="2">
        <v>5.3599537037037036E-2</v>
      </c>
      <c r="AO100">
        <v>77</v>
      </c>
      <c r="AP100">
        <v>147</v>
      </c>
    </row>
    <row r="101" spans="1:42" x14ac:dyDescent="0.25">
      <c r="B101" s="1"/>
      <c r="H101" s="2"/>
      <c r="N101" s="3"/>
      <c r="O101" s="3"/>
      <c r="AD101" s="4"/>
      <c r="AJ101" s="5"/>
      <c r="AM101" s="2"/>
      <c r="AN101" s="2"/>
    </row>
    <row r="102" spans="1:42" x14ac:dyDescent="0.25">
      <c r="B102" s="1"/>
      <c r="H102" s="2"/>
      <c r="N102" s="3"/>
      <c r="O102" s="3"/>
      <c r="AD102" s="4"/>
      <c r="AJ102" s="5"/>
      <c r="AM102" s="2"/>
      <c r="AN102" s="2"/>
    </row>
    <row r="103" spans="1:42" x14ac:dyDescent="0.25">
      <c r="B103" s="1"/>
      <c r="H103" s="2"/>
      <c r="N103" s="3"/>
      <c r="O103" s="3"/>
      <c r="AJ103" s="5"/>
      <c r="AM103" s="2"/>
      <c r="AN103" s="2"/>
    </row>
    <row r="104" spans="1:42" x14ac:dyDescent="0.25">
      <c r="B104" s="1"/>
      <c r="G104" s="4"/>
      <c r="H104" s="2"/>
      <c r="N104" s="3"/>
      <c r="O104" s="3"/>
      <c r="AD104" s="4"/>
      <c r="AJ104" s="5"/>
      <c r="AM104" s="2"/>
      <c r="AN104" s="2"/>
    </row>
    <row r="105" spans="1:42" x14ac:dyDescent="0.25">
      <c r="B105" s="1"/>
      <c r="H105" s="2"/>
      <c r="N105" s="3"/>
      <c r="O105" s="3"/>
      <c r="AD105" s="4"/>
      <c r="AJ105" s="5"/>
      <c r="AM105" s="2"/>
      <c r="AN105" s="2"/>
    </row>
  </sheetData>
  <autoFilter ref="A1:AP100" xr:uid="{0EDBFCE3-259D-441E-BBB0-7D09D1D66D5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6BA6-184E-41D0-A3C9-4B5147552399}">
  <dimension ref="A1:C53"/>
  <sheetViews>
    <sheetView tabSelected="1" workbookViewId="0">
      <selection activeCell="A2" sqref="A2"/>
    </sheetView>
  </sheetViews>
  <sheetFormatPr defaultRowHeight="15" x14ac:dyDescent="0.25"/>
  <cols>
    <col min="1" max="1" width="18.42578125" bestFit="1" customWidth="1"/>
    <col min="4" max="4" width="18.28515625" bestFit="1" customWidth="1"/>
    <col min="7" max="7" width="18.42578125" bestFit="1" customWidth="1"/>
  </cols>
  <sheetData>
    <row r="1" spans="1:3" x14ac:dyDescent="0.25">
      <c r="A1" t="s">
        <v>1</v>
      </c>
      <c r="B1" t="s">
        <v>27</v>
      </c>
      <c r="C1" t="s">
        <v>175</v>
      </c>
    </row>
    <row r="2" spans="1:3" x14ac:dyDescent="0.25">
      <c r="A2" s="7" t="s">
        <v>160</v>
      </c>
      <c r="B2" s="4">
        <v>22554</v>
      </c>
      <c r="C2">
        <v>2</v>
      </c>
    </row>
    <row r="3" spans="1:3" x14ac:dyDescent="0.25">
      <c r="A3" t="s">
        <v>108</v>
      </c>
      <c r="B3" s="4">
        <v>55957</v>
      </c>
      <c r="C3" s="4">
        <v>7</v>
      </c>
    </row>
    <row r="4" spans="1:3" x14ac:dyDescent="0.25">
      <c r="A4" t="s">
        <v>109</v>
      </c>
      <c r="B4" s="4">
        <v>79779</v>
      </c>
      <c r="C4" s="4">
        <v>7</v>
      </c>
    </row>
    <row r="5" spans="1:3" x14ac:dyDescent="0.25">
      <c r="A5" t="s">
        <v>110</v>
      </c>
      <c r="B5" s="4">
        <v>79255</v>
      </c>
      <c r="C5" s="4">
        <v>7</v>
      </c>
    </row>
    <row r="6" spans="1:3" x14ac:dyDescent="0.25">
      <c r="A6" t="s">
        <v>111</v>
      </c>
      <c r="B6" s="4">
        <v>66197</v>
      </c>
      <c r="C6" s="4">
        <v>7</v>
      </c>
    </row>
    <row r="7" spans="1:3" x14ac:dyDescent="0.25">
      <c r="A7" t="s">
        <v>112</v>
      </c>
      <c r="B7" s="4">
        <v>73801</v>
      </c>
      <c r="C7" s="4">
        <v>7</v>
      </c>
    </row>
    <row r="8" spans="1:3" x14ac:dyDescent="0.25">
      <c r="A8" t="s">
        <v>113</v>
      </c>
      <c r="B8" s="4">
        <v>61612</v>
      </c>
      <c r="C8" s="4">
        <v>7</v>
      </c>
    </row>
    <row r="9" spans="1:3" x14ac:dyDescent="0.25">
      <c r="A9" t="s">
        <v>114</v>
      </c>
      <c r="B9" s="4">
        <v>61564</v>
      </c>
      <c r="C9" s="4">
        <v>7</v>
      </c>
    </row>
    <row r="10" spans="1:3" x14ac:dyDescent="0.25">
      <c r="A10" t="s">
        <v>115</v>
      </c>
      <c r="B10" s="4">
        <v>97060</v>
      </c>
      <c r="C10" s="4">
        <v>7</v>
      </c>
    </row>
    <row r="11" spans="1:3" x14ac:dyDescent="0.25">
      <c r="A11" t="s">
        <v>116</v>
      </c>
      <c r="B11" s="4">
        <v>65873</v>
      </c>
      <c r="C11" s="4">
        <v>7</v>
      </c>
    </row>
    <row r="12" spans="1:3" x14ac:dyDescent="0.25">
      <c r="A12" t="s">
        <v>117</v>
      </c>
      <c r="B12" s="4">
        <v>84198</v>
      </c>
      <c r="C12" s="4">
        <v>7</v>
      </c>
    </row>
    <row r="13" spans="1:3" x14ac:dyDescent="0.25">
      <c r="A13" t="s">
        <v>118</v>
      </c>
      <c r="B13" s="4">
        <v>114267</v>
      </c>
      <c r="C13" s="4">
        <v>7</v>
      </c>
    </row>
    <row r="14" spans="1:3" x14ac:dyDescent="0.25">
      <c r="A14" t="s">
        <v>119</v>
      </c>
      <c r="B14" s="4">
        <v>120360</v>
      </c>
      <c r="C14" s="4">
        <v>7</v>
      </c>
    </row>
    <row r="15" spans="1:3" x14ac:dyDescent="0.25">
      <c r="A15" t="s">
        <v>120</v>
      </c>
      <c r="B15" s="4">
        <v>178695</v>
      </c>
      <c r="C15" s="4">
        <v>7</v>
      </c>
    </row>
    <row r="16" spans="1:3" x14ac:dyDescent="0.25">
      <c r="A16" t="s">
        <v>121</v>
      </c>
      <c r="B16" s="4">
        <v>102622</v>
      </c>
      <c r="C16" s="4">
        <v>7</v>
      </c>
    </row>
    <row r="17" spans="1:3" x14ac:dyDescent="0.25">
      <c r="A17" t="s">
        <v>122</v>
      </c>
      <c r="B17" s="4">
        <v>146904</v>
      </c>
      <c r="C17" s="4">
        <v>7</v>
      </c>
    </row>
    <row r="18" spans="1:3" x14ac:dyDescent="0.25">
      <c r="A18" t="s">
        <v>123</v>
      </c>
      <c r="B18" s="4">
        <v>128121</v>
      </c>
      <c r="C18" s="4">
        <v>7</v>
      </c>
    </row>
    <row r="19" spans="1:3" x14ac:dyDescent="0.25">
      <c r="A19" t="s">
        <v>124</v>
      </c>
      <c r="B19" s="4">
        <v>101070</v>
      </c>
      <c r="C19" s="4">
        <v>7</v>
      </c>
    </row>
    <row r="20" spans="1:3" x14ac:dyDescent="0.25">
      <c r="A20" t="s">
        <v>125</v>
      </c>
      <c r="B20" s="4">
        <v>94302</v>
      </c>
      <c r="C20" s="4">
        <v>7</v>
      </c>
    </row>
    <row r="21" spans="1:3" x14ac:dyDescent="0.25">
      <c r="A21" t="s">
        <v>126</v>
      </c>
      <c r="B21" s="4">
        <v>70169</v>
      </c>
      <c r="C21" s="4">
        <v>7</v>
      </c>
    </row>
    <row r="22" spans="1:3" x14ac:dyDescent="0.25">
      <c r="A22" t="s">
        <v>127</v>
      </c>
      <c r="B22" s="4">
        <v>87578</v>
      </c>
      <c r="C22" s="4">
        <v>7</v>
      </c>
    </row>
    <row r="23" spans="1:3" x14ac:dyDescent="0.25">
      <c r="A23" t="s">
        <v>128</v>
      </c>
      <c r="B23" s="4">
        <v>74148</v>
      </c>
      <c r="C23" s="4">
        <v>7</v>
      </c>
    </row>
    <row r="24" spans="1:3" x14ac:dyDescent="0.25">
      <c r="A24" t="s">
        <v>129</v>
      </c>
      <c r="B24" s="4">
        <v>62132</v>
      </c>
      <c r="C24" s="4">
        <v>7</v>
      </c>
    </row>
    <row r="25" spans="1:3" x14ac:dyDescent="0.25">
      <c r="A25" t="s">
        <v>130</v>
      </c>
      <c r="B25" s="4">
        <v>99684</v>
      </c>
      <c r="C25" s="4">
        <v>7</v>
      </c>
    </row>
    <row r="26" spans="1:3" x14ac:dyDescent="0.25">
      <c r="A26" t="s">
        <v>131</v>
      </c>
      <c r="B26" s="4">
        <v>91714</v>
      </c>
      <c r="C26" s="4">
        <v>7</v>
      </c>
    </row>
    <row r="27" spans="1:3" x14ac:dyDescent="0.25">
      <c r="A27" t="s">
        <v>132</v>
      </c>
      <c r="B27" s="4">
        <v>125958</v>
      </c>
      <c r="C27" s="4">
        <v>7</v>
      </c>
    </row>
    <row r="28" spans="1:3" x14ac:dyDescent="0.25">
      <c r="A28" t="s">
        <v>133</v>
      </c>
      <c r="B28" s="4">
        <v>107470</v>
      </c>
      <c r="C28" s="4">
        <v>7</v>
      </c>
    </row>
    <row r="29" spans="1:3" x14ac:dyDescent="0.25">
      <c r="A29" t="s">
        <v>134</v>
      </c>
      <c r="B29" s="4">
        <v>89324</v>
      </c>
      <c r="C29" s="4">
        <v>7</v>
      </c>
    </row>
    <row r="30" spans="1:3" x14ac:dyDescent="0.25">
      <c r="A30" t="s">
        <v>135</v>
      </c>
      <c r="B30" s="4">
        <v>117066</v>
      </c>
      <c r="C30" s="4">
        <v>7</v>
      </c>
    </row>
    <row r="31" spans="1:3" x14ac:dyDescent="0.25">
      <c r="A31" t="s">
        <v>136</v>
      </c>
      <c r="B31" s="4">
        <v>80173</v>
      </c>
      <c r="C31" s="4">
        <v>7</v>
      </c>
    </row>
    <row r="32" spans="1:3" x14ac:dyDescent="0.25">
      <c r="A32" t="s">
        <v>137</v>
      </c>
      <c r="B32" s="4">
        <v>99277</v>
      </c>
      <c r="C32" s="4">
        <v>7</v>
      </c>
    </row>
    <row r="33" spans="1:3" x14ac:dyDescent="0.25">
      <c r="A33" t="s">
        <v>138</v>
      </c>
      <c r="B33" s="4">
        <v>105005</v>
      </c>
      <c r="C33" s="4">
        <v>7</v>
      </c>
    </row>
    <row r="34" spans="1:3" x14ac:dyDescent="0.25">
      <c r="A34" t="s">
        <v>139</v>
      </c>
      <c r="B34" s="4">
        <v>103160</v>
      </c>
      <c r="C34" s="4">
        <v>7</v>
      </c>
    </row>
    <row r="35" spans="1:3" x14ac:dyDescent="0.25">
      <c r="A35" t="s">
        <v>140</v>
      </c>
      <c r="B35" s="4">
        <v>92373</v>
      </c>
      <c r="C35" s="4">
        <v>7</v>
      </c>
    </row>
    <row r="36" spans="1:3" x14ac:dyDescent="0.25">
      <c r="A36" t="s">
        <v>141</v>
      </c>
      <c r="B36" s="4">
        <v>74322</v>
      </c>
      <c r="C36" s="4">
        <v>7</v>
      </c>
    </row>
    <row r="37" spans="1:3" x14ac:dyDescent="0.25">
      <c r="A37" t="s">
        <v>142</v>
      </c>
      <c r="B37" s="4">
        <v>86682</v>
      </c>
      <c r="C37" s="4">
        <v>7</v>
      </c>
    </row>
    <row r="38" spans="1:3" x14ac:dyDescent="0.25">
      <c r="A38" t="s">
        <v>143</v>
      </c>
      <c r="B38" s="4">
        <v>67104</v>
      </c>
      <c r="C38" s="4">
        <v>7</v>
      </c>
    </row>
    <row r="39" spans="1:3" x14ac:dyDescent="0.25">
      <c r="A39" t="s">
        <v>144</v>
      </c>
      <c r="B39" s="4">
        <v>49297</v>
      </c>
      <c r="C39" s="4">
        <v>7</v>
      </c>
    </row>
    <row r="40" spans="1:3" x14ac:dyDescent="0.25">
      <c r="A40" t="s">
        <v>145</v>
      </c>
      <c r="B40" s="4">
        <v>68513</v>
      </c>
      <c r="C40" s="4">
        <v>7</v>
      </c>
    </row>
    <row r="41" spans="1:3" x14ac:dyDescent="0.25">
      <c r="A41" t="s">
        <v>146</v>
      </c>
      <c r="B41" s="4">
        <v>70927</v>
      </c>
      <c r="C41" s="4">
        <v>7</v>
      </c>
    </row>
    <row r="42" spans="1:3" x14ac:dyDescent="0.25">
      <c r="A42" t="s">
        <v>147</v>
      </c>
      <c r="B42" s="4">
        <v>100958</v>
      </c>
      <c r="C42" s="4">
        <v>7</v>
      </c>
    </row>
    <row r="43" spans="1:3" x14ac:dyDescent="0.25">
      <c r="A43" t="s">
        <v>148</v>
      </c>
      <c r="B43" s="4">
        <v>53595</v>
      </c>
      <c r="C43" s="4">
        <v>7</v>
      </c>
    </row>
    <row r="44" spans="1:3" x14ac:dyDescent="0.25">
      <c r="A44" t="s">
        <v>149</v>
      </c>
      <c r="B44" s="4">
        <v>25480</v>
      </c>
      <c r="C44" s="4">
        <v>7</v>
      </c>
    </row>
    <row r="45" spans="1:3" x14ac:dyDescent="0.25">
      <c r="A45" t="s">
        <v>150</v>
      </c>
      <c r="B45" s="4">
        <v>40738</v>
      </c>
      <c r="C45" s="4">
        <v>7</v>
      </c>
    </row>
    <row r="46" spans="1:3" x14ac:dyDescent="0.25">
      <c r="A46" t="s">
        <v>151</v>
      </c>
      <c r="B46" s="4">
        <v>40930</v>
      </c>
      <c r="C46" s="4">
        <v>7</v>
      </c>
    </row>
    <row r="47" spans="1:3" x14ac:dyDescent="0.25">
      <c r="A47" t="s">
        <v>152</v>
      </c>
      <c r="B47" s="4">
        <v>47754</v>
      </c>
      <c r="C47" s="4">
        <v>7</v>
      </c>
    </row>
    <row r="48" spans="1:3" x14ac:dyDescent="0.25">
      <c r="A48" t="s">
        <v>153</v>
      </c>
      <c r="B48" s="4">
        <v>90322</v>
      </c>
      <c r="C48" s="4">
        <v>7</v>
      </c>
    </row>
    <row r="49" spans="1:3" x14ac:dyDescent="0.25">
      <c r="A49" t="s">
        <v>154</v>
      </c>
      <c r="B49" s="4">
        <v>59712</v>
      </c>
      <c r="C49" s="4">
        <v>7</v>
      </c>
    </row>
    <row r="50" spans="1:3" x14ac:dyDescent="0.25">
      <c r="A50" t="s">
        <v>155</v>
      </c>
      <c r="B50" s="4">
        <v>87842</v>
      </c>
      <c r="C50" s="4">
        <v>7</v>
      </c>
    </row>
    <row r="51" spans="1:3" x14ac:dyDescent="0.25">
      <c r="A51" t="s">
        <v>156</v>
      </c>
      <c r="B51" s="4">
        <v>119495</v>
      </c>
      <c r="C51" s="4">
        <v>7</v>
      </c>
    </row>
    <row r="52" spans="1:3" x14ac:dyDescent="0.25">
      <c r="A52" t="s">
        <v>157</v>
      </c>
      <c r="B52" s="4">
        <v>87634</v>
      </c>
      <c r="C52" s="4">
        <v>7</v>
      </c>
    </row>
    <row r="53" spans="1:3" x14ac:dyDescent="0.25">
      <c r="A53" t="s">
        <v>158</v>
      </c>
      <c r="B53" s="4">
        <v>102375</v>
      </c>
      <c r="C53" s="4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05A6-6E5B-42F9-BC57-91945736E0B9}">
  <dimension ref="A1:I21"/>
  <sheetViews>
    <sheetView workbookViewId="0">
      <selection activeCell="C14" sqref="C14"/>
    </sheetView>
  </sheetViews>
  <sheetFormatPr defaultRowHeight="15" x14ac:dyDescent="0.25"/>
  <cols>
    <col min="1" max="1" width="26.42578125" bestFit="1" customWidth="1"/>
    <col min="2" max="2" width="10.5703125" bestFit="1" customWidth="1"/>
  </cols>
  <sheetData>
    <row r="1" spans="1:7" x14ac:dyDescent="0.25">
      <c r="A1" s="11" t="s">
        <v>161</v>
      </c>
      <c r="B1">
        <f>SUM(garmin_steps!C2:C53)</f>
        <v>359</v>
      </c>
    </row>
    <row r="2" spans="1:7" x14ac:dyDescent="0.25">
      <c r="A2" s="11" t="s">
        <v>162</v>
      </c>
      <c r="B2" s="4">
        <v>4413102</v>
      </c>
    </row>
    <row r="3" spans="1:7" x14ac:dyDescent="0.25">
      <c r="A3" s="11" t="s">
        <v>159</v>
      </c>
      <c r="B3" s="8">
        <v>3401.3300000000004</v>
      </c>
      <c r="C3" s="9">
        <v>3420.8</v>
      </c>
      <c r="D3" s="10">
        <v>36.97</v>
      </c>
      <c r="E3" s="10">
        <v>13</v>
      </c>
      <c r="F3" s="10">
        <v>4.5</v>
      </c>
      <c r="G3" t="s">
        <v>165</v>
      </c>
    </row>
    <row r="4" spans="1:7" x14ac:dyDescent="0.25">
      <c r="A4" s="11" t="s">
        <v>163</v>
      </c>
      <c r="B4">
        <v>381.03000000000014</v>
      </c>
    </row>
    <row r="5" spans="1:7" x14ac:dyDescent="0.25">
      <c r="A5" s="11" t="s">
        <v>164</v>
      </c>
      <c r="B5">
        <v>179.11999999999983</v>
      </c>
    </row>
    <row r="6" spans="1:7" x14ac:dyDescent="0.25">
      <c r="A6" s="11" t="s">
        <v>166</v>
      </c>
      <c r="B6">
        <v>61</v>
      </c>
    </row>
    <row r="7" spans="1:7" x14ac:dyDescent="0.25">
      <c r="A7" s="11" t="s">
        <v>167</v>
      </c>
      <c r="B7">
        <v>28</v>
      </c>
    </row>
    <row r="8" spans="1:7" x14ac:dyDescent="0.25">
      <c r="A8" s="13" t="s">
        <v>168</v>
      </c>
      <c r="B8" s="12">
        <v>33</v>
      </c>
    </row>
    <row r="10" spans="1:7" x14ac:dyDescent="0.25">
      <c r="A10" s="11" t="s">
        <v>169</v>
      </c>
      <c r="B10">
        <v>21</v>
      </c>
    </row>
    <row r="11" spans="1:7" x14ac:dyDescent="0.25">
      <c r="A11" s="11" t="s">
        <v>170</v>
      </c>
      <c r="B11">
        <v>4</v>
      </c>
    </row>
    <row r="12" spans="1:7" x14ac:dyDescent="0.25">
      <c r="A12" s="11" t="s">
        <v>171</v>
      </c>
      <c r="B12">
        <v>16</v>
      </c>
    </row>
    <row r="13" spans="1:7" x14ac:dyDescent="0.25">
      <c r="A13" s="11" t="s">
        <v>172</v>
      </c>
      <c r="B13">
        <v>2</v>
      </c>
    </row>
    <row r="14" spans="1:7" x14ac:dyDescent="0.25">
      <c r="A14" s="11" t="s">
        <v>173</v>
      </c>
      <c r="B14">
        <v>263</v>
      </c>
      <c r="C14">
        <f>B14/B10</f>
        <v>12.523809523809524</v>
      </c>
    </row>
    <row r="15" spans="1:7" x14ac:dyDescent="0.25">
      <c r="A15" s="13" t="s">
        <v>174</v>
      </c>
      <c r="B15" s="14">
        <v>56431.234567901236</v>
      </c>
    </row>
    <row r="21" spans="8:9" x14ac:dyDescent="0.25">
      <c r="H21">
        <f>33/71</f>
        <v>0.46478873239436619</v>
      </c>
      <c r="I21">
        <f>71-33</f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5B78-1919-4770-A5D1-DC50EB1FEC38}">
  <dimension ref="A1:H161"/>
  <sheetViews>
    <sheetView workbookViewId="0">
      <selection activeCell="H2" sqref="H2"/>
    </sheetView>
  </sheetViews>
  <sheetFormatPr defaultRowHeight="15" x14ac:dyDescent="0.25"/>
  <cols>
    <col min="1" max="1" width="15.28515625" customWidth="1"/>
    <col min="2" max="2" width="18" customWidth="1"/>
    <col min="3" max="3" width="21" bestFit="1" customWidth="1"/>
  </cols>
  <sheetData>
    <row r="1" spans="1:8" x14ac:dyDescent="0.25">
      <c r="A1" t="s">
        <v>1</v>
      </c>
      <c r="B1" t="s">
        <v>176</v>
      </c>
      <c r="C1" t="s">
        <v>177</v>
      </c>
      <c r="D1" t="s">
        <v>178</v>
      </c>
      <c r="E1" t="s">
        <v>191</v>
      </c>
      <c r="F1" t="s">
        <v>192</v>
      </c>
      <c r="G1" t="s">
        <v>195</v>
      </c>
    </row>
    <row r="2" spans="1:8" x14ac:dyDescent="0.25">
      <c r="A2" s="15">
        <v>45732</v>
      </c>
      <c r="B2" t="s">
        <v>179</v>
      </c>
      <c r="C2" t="s">
        <v>180</v>
      </c>
      <c r="D2">
        <v>4.58</v>
      </c>
      <c r="E2">
        <f>SUM(D2:D1048576)</f>
        <v>1283.3391000000011</v>
      </c>
      <c r="F2">
        <f>COUNT(A2:A1340)</f>
        <v>160</v>
      </c>
      <c r="G2">
        <f>COUNT(_xlfn.UNIQUE(A2:A1048576))</f>
        <v>145</v>
      </c>
      <c r="H2">
        <f>G2/359</f>
        <v>0.40389972144846797</v>
      </c>
    </row>
    <row r="3" spans="1:8" x14ac:dyDescent="0.25">
      <c r="A3" s="15">
        <v>45736</v>
      </c>
      <c r="B3" t="s">
        <v>179</v>
      </c>
      <c r="C3" t="s">
        <v>180</v>
      </c>
      <c r="D3">
        <v>9.92</v>
      </c>
    </row>
    <row r="4" spans="1:8" x14ac:dyDescent="0.25">
      <c r="A4" s="15">
        <v>45737</v>
      </c>
      <c r="B4" t="s">
        <v>179</v>
      </c>
      <c r="C4" t="s">
        <v>180</v>
      </c>
      <c r="D4">
        <v>3.08</v>
      </c>
    </row>
    <row r="5" spans="1:8" x14ac:dyDescent="0.25">
      <c r="A5" s="15">
        <v>45743</v>
      </c>
      <c r="B5" t="s">
        <v>179</v>
      </c>
      <c r="C5" t="s">
        <v>180</v>
      </c>
      <c r="D5">
        <v>6.58</v>
      </c>
    </row>
    <row r="6" spans="1:8" x14ac:dyDescent="0.25">
      <c r="A6" s="15">
        <v>45744</v>
      </c>
      <c r="B6" t="s">
        <v>179</v>
      </c>
      <c r="C6" t="s">
        <v>180</v>
      </c>
      <c r="D6">
        <v>7.5</v>
      </c>
    </row>
    <row r="7" spans="1:8" x14ac:dyDescent="0.25">
      <c r="A7" s="15">
        <v>45746</v>
      </c>
      <c r="B7" t="s">
        <v>179</v>
      </c>
      <c r="C7" t="s">
        <v>180</v>
      </c>
      <c r="D7">
        <v>4.58</v>
      </c>
    </row>
    <row r="8" spans="1:8" x14ac:dyDescent="0.25">
      <c r="A8" s="15">
        <v>45749</v>
      </c>
      <c r="B8" t="s">
        <v>179</v>
      </c>
      <c r="C8" t="s">
        <v>180</v>
      </c>
      <c r="D8">
        <v>1</v>
      </c>
    </row>
    <row r="9" spans="1:8" x14ac:dyDescent="0.25">
      <c r="A9" s="15">
        <v>45753</v>
      </c>
      <c r="B9" t="s">
        <v>179</v>
      </c>
      <c r="C9" t="s">
        <v>180</v>
      </c>
      <c r="D9">
        <v>6.75</v>
      </c>
    </row>
    <row r="10" spans="1:8" x14ac:dyDescent="0.25">
      <c r="A10" s="15">
        <v>45746</v>
      </c>
      <c r="B10" t="s">
        <v>181</v>
      </c>
      <c r="C10" t="s">
        <v>182</v>
      </c>
      <c r="D10">
        <v>9</v>
      </c>
    </row>
    <row r="11" spans="1:8" x14ac:dyDescent="0.25">
      <c r="A11" s="15">
        <v>45749</v>
      </c>
      <c r="B11" t="s">
        <v>181</v>
      </c>
      <c r="C11" t="s">
        <v>182</v>
      </c>
      <c r="D11">
        <v>9.25</v>
      </c>
    </row>
    <row r="12" spans="1:8" x14ac:dyDescent="0.25">
      <c r="A12" s="15">
        <v>45750</v>
      </c>
      <c r="B12" t="s">
        <v>181</v>
      </c>
      <c r="C12" t="s">
        <v>182</v>
      </c>
      <c r="D12">
        <v>9.75</v>
      </c>
    </row>
    <row r="13" spans="1:8" x14ac:dyDescent="0.25">
      <c r="A13" s="15">
        <v>45751</v>
      </c>
      <c r="B13" t="s">
        <v>181</v>
      </c>
      <c r="C13" t="s">
        <v>182</v>
      </c>
      <c r="D13">
        <v>4.5</v>
      </c>
    </row>
    <row r="14" spans="1:8" x14ac:dyDescent="0.25">
      <c r="A14" s="15">
        <v>45754</v>
      </c>
      <c r="B14" t="s">
        <v>181</v>
      </c>
      <c r="C14" t="s">
        <v>182</v>
      </c>
      <c r="D14">
        <f>8.75+5.5</f>
        <v>14.25</v>
      </c>
    </row>
    <row r="15" spans="1:8" x14ac:dyDescent="0.25">
      <c r="A15" s="15">
        <v>45755</v>
      </c>
      <c r="B15" t="s">
        <v>181</v>
      </c>
      <c r="C15" t="s">
        <v>182</v>
      </c>
      <c r="D15">
        <v>10.5</v>
      </c>
    </row>
    <row r="16" spans="1:8" x14ac:dyDescent="0.25">
      <c r="A16" s="15">
        <v>45756</v>
      </c>
      <c r="B16" t="s">
        <v>181</v>
      </c>
      <c r="C16" t="s">
        <v>182</v>
      </c>
      <c r="D16">
        <v>11.25</v>
      </c>
    </row>
    <row r="17" spans="1:4" x14ac:dyDescent="0.25">
      <c r="A17" s="15">
        <v>45763</v>
      </c>
      <c r="B17" t="s">
        <v>181</v>
      </c>
      <c r="C17" t="s">
        <v>182</v>
      </c>
      <c r="D17">
        <v>9.75</v>
      </c>
    </row>
    <row r="18" spans="1:4" x14ac:dyDescent="0.25">
      <c r="A18" s="15">
        <v>45770</v>
      </c>
      <c r="B18" t="s">
        <v>181</v>
      </c>
      <c r="C18" t="s">
        <v>182</v>
      </c>
      <c r="D18">
        <v>9.5</v>
      </c>
    </row>
    <row r="19" spans="1:4" x14ac:dyDescent="0.25">
      <c r="A19" s="15">
        <v>45771</v>
      </c>
      <c r="B19" t="s">
        <v>181</v>
      </c>
      <c r="C19" t="s">
        <v>182</v>
      </c>
      <c r="D19">
        <v>5.5</v>
      </c>
    </row>
    <row r="20" spans="1:4" x14ac:dyDescent="0.25">
      <c r="A20" s="15">
        <v>45773</v>
      </c>
      <c r="B20" t="s">
        <v>181</v>
      </c>
      <c r="C20" t="s">
        <v>182</v>
      </c>
      <c r="D20">
        <v>10</v>
      </c>
    </row>
    <row r="21" spans="1:4" x14ac:dyDescent="0.25">
      <c r="A21" s="15">
        <v>45780</v>
      </c>
      <c r="B21" t="s">
        <v>181</v>
      </c>
      <c r="C21" t="s">
        <v>182</v>
      </c>
      <c r="D21">
        <v>9.75</v>
      </c>
    </row>
    <row r="22" spans="1:4" x14ac:dyDescent="0.25">
      <c r="A22" s="15">
        <v>45785</v>
      </c>
      <c r="B22" t="s">
        <v>181</v>
      </c>
      <c r="C22" t="s">
        <v>182</v>
      </c>
      <c r="D22">
        <v>9.75</v>
      </c>
    </row>
    <row r="23" spans="1:4" x14ac:dyDescent="0.25">
      <c r="A23" s="15">
        <v>46010</v>
      </c>
      <c r="B23" t="s">
        <v>183</v>
      </c>
      <c r="C23" t="s">
        <v>184</v>
      </c>
      <c r="D23">
        <v>7.5</v>
      </c>
    </row>
    <row r="24" spans="1:4" x14ac:dyDescent="0.25">
      <c r="A24" s="15">
        <v>46013</v>
      </c>
      <c r="B24" t="s">
        <v>183</v>
      </c>
      <c r="C24" t="s">
        <v>184</v>
      </c>
      <c r="D24">
        <v>9.5832999999999995</v>
      </c>
    </row>
    <row r="25" spans="1:4" x14ac:dyDescent="0.25">
      <c r="A25" s="15">
        <v>46014</v>
      </c>
      <c r="B25" t="s">
        <v>183</v>
      </c>
      <c r="C25" t="s">
        <v>184</v>
      </c>
      <c r="D25">
        <v>8.5</v>
      </c>
    </row>
    <row r="26" spans="1:4" x14ac:dyDescent="0.25">
      <c r="A26" s="15">
        <v>46015</v>
      </c>
      <c r="B26" t="s">
        <v>183</v>
      </c>
      <c r="C26" t="s">
        <v>184</v>
      </c>
      <c r="D26">
        <v>5.5</v>
      </c>
    </row>
    <row r="27" spans="1:4" x14ac:dyDescent="0.25">
      <c r="A27" s="15">
        <v>46018</v>
      </c>
      <c r="B27" t="s">
        <v>183</v>
      </c>
      <c r="C27" t="s">
        <v>184</v>
      </c>
      <c r="D27">
        <v>5.5</v>
      </c>
    </row>
    <row r="28" spans="1:4" x14ac:dyDescent="0.25">
      <c r="A28" s="15">
        <v>46026</v>
      </c>
      <c r="B28" t="s">
        <v>185</v>
      </c>
      <c r="C28" t="s">
        <v>186</v>
      </c>
      <c r="D28">
        <v>7.5</v>
      </c>
    </row>
    <row r="29" spans="1:4" x14ac:dyDescent="0.25">
      <c r="A29" s="15">
        <v>46027</v>
      </c>
      <c r="B29" t="s">
        <v>185</v>
      </c>
      <c r="C29" t="s">
        <v>186</v>
      </c>
      <c r="D29">
        <v>8.25</v>
      </c>
    </row>
    <row r="30" spans="1:4" x14ac:dyDescent="0.25">
      <c r="A30" s="15">
        <v>46029</v>
      </c>
      <c r="B30" t="s">
        <v>185</v>
      </c>
      <c r="C30" t="s">
        <v>186</v>
      </c>
      <c r="D30">
        <v>8.25</v>
      </c>
    </row>
    <row r="31" spans="1:4" x14ac:dyDescent="0.25">
      <c r="A31" s="15">
        <v>46030</v>
      </c>
      <c r="B31" t="s">
        <v>185</v>
      </c>
      <c r="C31" t="s">
        <v>186</v>
      </c>
      <c r="D31">
        <v>9</v>
      </c>
    </row>
    <row r="32" spans="1:4" x14ac:dyDescent="0.25">
      <c r="A32" s="15">
        <v>46031</v>
      </c>
      <c r="B32" t="s">
        <v>185</v>
      </c>
      <c r="C32" t="s">
        <v>186</v>
      </c>
      <c r="D32">
        <v>9.3330000000000002</v>
      </c>
    </row>
    <row r="33" spans="1:4" x14ac:dyDescent="0.25">
      <c r="A33" s="15">
        <v>46034</v>
      </c>
      <c r="B33" t="s">
        <v>185</v>
      </c>
      <c r="C33" t="s">
        <v>186</v>
      </c>
      <c r="D33">
        <v>10.75</v>
      </c>
    </row>
    <row r="34" spans="1:4" x14ac:dyDescent="0.25">
      <c r="A34" s="15">
        <v>46035</v>
      </c>
      <c r="B34" t="s">
        <v>185</v>
      </c>
      <c r="C34" t="s">
        <v>186</v>
      </c>
      <c r="D34">
        <v>8.25</v>
      </c>
    </row>
    <row r="35" spans="1:4" x14ac:dyDescent="0.25">
      <c r="A35" s="15">
        <v>46036</v>
      </c>
      <c r="B35" t="s">
        <v>185</v>
      </c>
      <c r="C35" t="s">
        <v>186</v>
      </c>
      <c r="D35">
        <v>9.8331</v>
      </c>
    </row>
    <row r="36" spans="1:4" x14ac:dyDescent="0.25">
      <c r="A36" s="15">
        <v>46040</v>
      </c>
      <c r="B36" t="s">
        <v>185</v>
      </c>
      <c r="C36" t="s">
        <v>186</v>
      </c>
      <c r="D36">
        <v>9.3330000000000002</v>
      </c>
    </row>
    <row r="37" spans="1:4" x14ac:dyDescent="0.25">
      <c r="A37" s="15">
        <v>46041</v>
      </c>
      <c r="B37" t="s">
        <v>185</v>
      </c>
      <c r="C37" t="s">
        <v>186</v>
      </c>
      <c r="D37">
        <v>7</v>
      </c>
    </row>
    <row r="38" spans="1:4" x14ac:dyDescent="0.25">
      <c r="A38" s="15">
        <v>46042</v>
      </c>
      <c r="B38" t="s">
        <v>185</v>
      </c>
      <c r="C38" t="s">
        <v>186</v>
      </c>
      <c r="D38">
        <v>7.5</v>
      </c>
    </row>
    <row r="39" spans="1:4" x14ac:dyDescent="0.25">
      <c r="A39" s="15">
        <v>46043</v>
      </c>
      <c r="B39" t="s">
        <v>185</v>
      </c>
      <c r="C39" t="s">
        <v>186</v>
      </c>
      <c r="D39">
        <v>10.166699999999999</v>
      </c>
    </row>
    <row r="40" spans="1:4" x14ac:dyDescent="0.25">
      <c r="A40" s="15">
        <v>46044</v>
      </c>
      <c r="B40" t="s">
        <v>185</v>
      </c>
      <c r="C40" t="s">
        <v>186</v>
      </c>
      <c r="D40">
        <v>7.25</v>
      </c>
    </row>
    <row r="41" spans="1:4" x14ac:dyDescent="0.25">
      <c r="A41" s="15">
        <v>46048</v>
      </c>
      <c r="B41" t="s">
        <v>185</v>
      </c>
      <c r="C41" t="s">
        <v>186</v>
      </c>
      <c r="D41">
        <v>8.5</v>
      </c>
    </row>
    <row r="42" spans="1:4" x14ac:dyDescent="0.25">
      <c r="A42" s="15">
        <v>46049</v>
      </c>
      <c r="B42" t="s">
        <v>185</v>
      </c>
      <c r="C42" t="s">
        <v>186</v>
      </c>
      <c r="D42">
        <v>8.5</v>
      </c>
    </row>
    <row r="43" spans="1:4" x14ac:dyDescent="0.25">
      <c r="A43" s="15">
        <v>46050</v>
      </c>
      <c r="B43" t="s">
        <v>185</v>
      </c>
      <c r="C43" t="s">
        <v>186</v>
      </c>
      <c r="D43">
        <v>6.75</v>
      </c>
    </row>
    <row r="44" spans="1:4" x14ac:dyDescent="0.25">
      <c r="A44" s="15">
        <v>46051</v>
      </c>
      <c r="B44" t="s">
        <v>185</v>
      </c>
      <c r="C44" t="s">
        <v>186</v>
      </c>
      <c r="D44">
        <v>8.5</v>
      </c>
    </row>
    <row r="45" spans="1:4" x14ac:dyDescent="0.25">
      <c r="A45" s="15">
        <v>45835</v>
      </c>
      <c r="B45" t="s">
        <v>187</v>
      </c>
      <c r="C45" t="s">
        <v>188</v>
      </c>
      <c r="D45">
        <v>8</v>
      </c>
    </row>
    <row r="46" spans="1:4" x14ac:dyDescent="0.25">
      <c r="A46" s="15">
        <v>45838</v>
      </c>
      <c r="B46" t="s">
        <v>187</v>
      </c>
      <c r="C46" t="s">
        <v>188</v>
      </c>
      <c r="D46">
        <v>8.8000000000000007</v>
      </c>
    </row>
    <row r="47" spans="1:4" x14ac:dyDescent="0.25">
      <c r="A47" s="15">
        <v>45839</v>
      </c>
      <c r="B47" t="s">
        <v>187</v>
      </c>
      <c r="C47" t="s">
        <v>188</v>
      </c>
      <c r="D47">
        <v>8.8000000000000007</v>
      </c>
    </row>
    <row r="48" spans="1:4" x14ac:dyDescent="0.25">
      <c r="A48" s="15">
        <v>45840</v>
      </c>
      <c r="B48" t="s">
        <v>187</v>
      </c>
      <c r="C48" t="s">
        <v>188</v>
      </c>
      <c r="D48">
        <v>8.8000000000000007</v>
      </c>
    </row>
    <row r="49" spans="1:4" x14ac:dyDescent="0.25">
      <c r="A49" s="15">
        <v>45841</v>
      </c>
      <c r="B49" t="s">
        <v>187</v>
      </c>
      <c r="C49" t="s">
        <v>188</v>
      </c>
      <c r="D49">
        <v>8.8000000000000007</v>
      </c>
    </row>
    <row r="50" spans="1:4" x14ac:dyDescent="0.25">
      <c r="A50" s="15">
        <v>45842</v>
      </c>
      <c r="B50" t="s">
        <v>187</v>
      </c>
      <c r="C50" t="s">
        <v>188</v>
      </c>
      <c r="D50">
        <v>8.8000000000000007</v>
      </c>
    </row>
    <row r="51" spans="1:4" x14ac:dyDescent="0.25">
      <c r="A51" s="15">
        <v>45845</v>
      </c>
      <c r="B51" t="s">
        <v>187</v>
      </c>
      <c r="C51" t="s">
        <v>188</v>
      </c>
      <c r="D51">
        <v>8.8000000000000007</v>
      </c>
    </row>
    <row r="52" spans="1:4" x14ac:dyDescent="0.25">
      <c r="A52" s="15">
        <v>45846</v>
      </c>
      <c r="B52" t="s">
        <v>187</v>
      </c>
      <c r="C52" t="s">
        <v>188</v>
      </c>
      <c r="D52">
        <v>8.8000000000000007</v>
      </c>
    </row>
    <row r="53" spans="1:4" x14ac:dyDescent="0.25">
      <c r="A53" s="15">
        <v>45847</v>
      </c>
      <c r="B53" t="s">
        <v>187</v>
      </c>
      <c r="C53" t="s">
        <v>188</v>
      </c>
      <c r="D53">
        <v>8.8000000000000007</v>
      </c>
    </row>
    <row r="54" spans="1:4" x14ac:dyDescent="0.25">
      <c r="A54" s="15">
        <v>45848</v>
      </c>
      <c r="B54" t="s">
        <v>187</v>
      </c>
      <c r="C54" t="s">
        <v>188</v>
      </c>
      <c r="D54">
        <v>8.8000000000000007</v>
      </c>
    </row>
    <row r="55" spans="1:4" x14ac:dyDescent="0.25">
      <c r="A55" s="15">
        <v>45849</v>
      </c>
      <c r="B55" t="s">
        <v>187</v>
      </c>
      <c r="C55" t="s">
        <v>188</v>
      </c>
      <c r="D55">
        <v>8.8000000000000007</v>
      </c>
    </row>
    <row r="56" spans="1:4" x14ac:dyDescent="0.25">
      <c r="A56" s="15">
        <v>45852</v>
      </c>
      <c r="B56" t="s">
        <v>187</v>
      </c>
      <c r="C56" t="s">
        <v>188</v>
      </c>
      <c r="D56">
        <v>9</v>
      </c>
    </row>
    <row r="57" spans="1:4" x14ac:dyDescent="0.25">
      <c r="A57" s="15">
        <v>45853</v>
      </c>
      <c r="B57" t="s">
        <v>187</v>
      </c>
      <c r="C57" t="s">
        <v>188</v>
      </c>
      <c r="D57">
        <v>9</v>
      </c>
    </row>
    <row r="58" spans="1:4" x14ac:dyDescent="0.25">
      <c r="A58" s="15">
        <v>45854</v>
      </c>
      <c r="B58" t="s">
        <v>187</v>
      </c>
      <c r="C58" t="s">
        <v>188</v>
      </c>
      <c r="D58">
        <v>9</v>
      </c>
    </row>
    <row r="59" spans="1:4" x14ac:dyDescent="0.25">
      <c r="A59" s="15">
        <v>45855</v>
      </c>
      <c r="B59" t="s">
        <v>187</v>
      </c>
      <c r="C59" t="s">
        <v>188</v>
      </c>
      <c r="D59">
        <v>9</v>
      </c>
    </row>
    <row r="60" spans="1:4" x14ac:dyDescent="0.25">
      <c r="A60" s="15">
        <v>45866</v>
      </c>
      <c r="B60" t="s">
        <v>190</v>
      </c>
      <c r="C60" t="s">
        <v>189</v>
      </c>
      <c r="D60">
        <f>43.25/5</f>
        <v>8.65</v>
      </c>
    </row>
    <row r="61" spans="1:4" x14ac:dyDescent="0.25">
      <c r="A61" s="15">
        <v>45867</v>
      </c>
      <c r="B61" t="s">
        <v>190</v>
      </c>
      <c r="C61" t="s">
        <v>189</v>
      </c>
      <c r="D61">
        <f t="shared" ref="D61:D64" si="0">43.25/5</f>
        <v>8.65</v>
      </c>
    </row>
    <row r="62" spans="1:4" x14ac:dyDescent="0.25">
      <c r="A62" s="15">
        <v>45868</v>
      </c>
      <c r="B62" t="s">
        <v>190</v>
      </c>
      <c r="C62" t="s">
        <v>189</v>
      </c>
      <c r="D62">
        <f t="shared" si="0"/>
        <v>8.65</v>
      </c>
    </row>
    <row r="63" spans="1:4" x14ac:dyDescent="0.25">
      <c r="A63" s="15">
        <v>45869</v>
      </c>
      <c r="B63" t="s">
        <v>190</v>
      </c>
      <c r="C63" t="s">
        <v>189</v>
      </c>
      <c r="D63">
        <f t="shared" si="0"/>
        <v>8.65</v>
      </c>
    </row>
    <row r="64" spans="1:4" x14ac:dyDescent="0.25">
      <c r="A64" s="15">
        <v>45870</v>
      </c>
      <c r="B64" t="s">
        <v>190</v>
      </c>
      <c r="C64" t="s">
        <v>189</v>
      </c>
      <c r="D64">
        <f t="shared" si="0"/>
        <v>8.65</v>
      </c>
    </row>
    <row r="65" spans="1:4" x14ac:dyDescent="0.25">
      <c r="A65" s="15">
        <v>45873</v>
      </c>
      <c r="B65" t="s">
        <v>190</v>
      </c>
      <c r="C65" t="s">
        <v>189</v>
      </c>
      <c r="D65">
        <v>7.5</v>
      </c>
    </row>
    <row r="66" spans="1:4" x14ac:dyDescent="0.25">
      <c r="A66" s="15">
        <v>45874</v>
      </c>
      <c r="B66" t="s">
        <v>190</v>
      </c>
      <c r="C66" t="s">
        <v>189</v>
      </c>
      <c r="D66">
        <v>7.5</v>
      </c>
    </row>
    <row r="67" spans="1:4" x14ac:dyDescent="0.25">
      <c r="A67" s="15">
        <v>45875</v>
      </c>
      <c r="B67" t="s">
        <v>190</v>
      </c>
      <c r="C67" t="s">
        <v>189</v>
      </c>
      <c r="D67">
        <v>7.5</v>
      </c>
    </row>
    <row r="68" spans="1:4" x14ac:dyDescent="0.25">
      <c r="A68" s="15">
        <v>45876</v>
      </c>
      <c r="B68" t="s">
        <v>190</v>
      </c>
      <c r="C68" t="s">
        <v>189</v>
      </c>
      <c r="D68">
        <v>7.5</v>
      </c>
    </row>
    <row r="69" spans="1:4" x14ac:dyDescent="0.25">
      <c r="A69" s="15">
        <v>45877</v>
      </c>
      <c r="B69" t="s">
        <v>190</v>
      </c>
      <c r="C69" t="s">
        <v>189</v>
      </c>
      <c r="D69">
        <v>7.5</v>
      </c>
    </row>
    <row r="70" spans="1:4" x14ac:dyDescent="0.25">
      <c r="A70" s="15">
        <v>45880</v>
      </c>
      <c r="B70" t="s">
        <v>190</v>
      </c>
      <c r="C70" t="s">
        <v>189</v>
      </c>
      <c r="D70">
        <v>11.9</v>
      </c>
    </row>
    <row r="71" spans="1:4" x14ac:dyDescent="0.25">
      <c r="A71" s="15">
        <v>45881</v>
      </c>
      <c r="B71" t="s">
        <v>190</v>
      </c>
      <c r="C71" t="s">
        <v>189</v>
      </c>
      <c r="D71">
        <v>11.9</v>
      </c>
    </row>
    <row r="72" spans="1:4" x14ac:dyDescent="0.25">
      <c r="A72" s="15">
        <v>45884</v>
      </c>
      <c r="B72" t="s">
        <v>190</v>
      </c>
      <c r="C72" t="s">
        <v>189</v>
      </c>
      <c r="D72">
        <v>11.9</v>
      </c>
    </row>
    <row r="73" spans="1:4" x14ac:dyDescent="0.25">
      <c r="A73" s="15">
        <v>45885</v>
      </c>
      <c r="B73" t="s">
        <v>190</v>
      </c>
      <c r="C73" t="s">
        <v>189</v>
      </c>
      <c r="D73">
        <v>11.9</v>
      </c>
    </row>
    <row r="74" spans="1:4" x14ac:dyDescent="0.25">
      <c r="A74" s="15">
        <v>45886</v>
      </c>
      <c r="B74" t="s">
        <v>190</v>
      </c>
      <c r="C74" t="s">
        <v>189</v>
      </c>
      <c r="D74">
        <v>11.9</v>
      </c>
    </row>
    <row r="75" spans="1:4" x14ac:dyDescent="0.25">
      <c r="A75" s="15">
        <v>45888</v>
      </c>
      <c r="B75" t="s">
        <v>190</v>
      </c>
      <c r="C75" t="s">
        <v>189</v>
      </c>
      <c r="D75">
        <v>7.8250000000000002</v>
      </c>
    </row>
    <row r="76" spans="1:4" x14ac:dyDescent="0.25">
      <c r="A76" s="15">
        <v>45889</v>
      </c>
      <c r="B76" t="s">
        <v>190</v>
      </c>
      <c r="C76" t="s">
        <v>189</v>
      </c>
      <c r="D76">
        <v>7.8250000000000002</v>
      </c>
    </row>
    <row r="77" spans="1:4" x14ac:dyDescent="0.25">
      <c r="A77" s="15">
        <v>45890</v>
      </c>
      <c r="B77" t="s">
        <v>190</v>
      </c>
      <c r="C77" t="s">
        <v>189</v>
      </c>
      <c r="D77">
        <v>7.8250000000000002</v>
      </c>
    </row>
    <row r="78" spans="1:4" x14ac:dyDescent="0.25">
      <c r="A78" s="15">
        <v>45892</v>
      </c>
      <c r="B78" t="s">
        <v>190</v>
      </c>
      <c r="C78" t="s">
        <v>189</v>
      </c>
      <c r="D78">
        <v>7.8250000000000002</v>
      </c>
    </row>
    <row r="79" spans="1:4" x14ac:dyDescent="0.25">
      <c r="A79" s="15">
        <v>45893</v>
      </c>
      <c r="B79" t="s">
        <v>190</v>
      </c>
      <c r="C79" t="s">
        <v>189</v>
      </c>
      <c r="D79">
        <v>7.8250000000000002</v>
      </c>
    </row>
    <row r="80" spans="1:4" x14ac:dyDescent="0.25">
      <c r="A80" s="15">
        <v>45894</v>
      </c>
      <c r="B80" t="s">
        <v>190</v>
      </c>
      <c r="C80" t="s">
        <v>189</v>
      </c>
      <c r="D80">
        <v>7.8250000000000002</v>
      </c>
    </row>
    <row r="81" spans="1:4" x14ac:dyDescent="0.25">
      <c r="A81" s="15">
        <v>45895</v>
      </c>
      <c r="B81" t="s">
        <v>190</v>
      </c>
      <c r="C81" t="s">
        <v>189</v>
      </c>
      <c r="D81">
        <v>7.8250000000000002</v>
      </c>
    </row>
    <row r="82" spans="1:4" x14ac:dyDescent="0.25">
      <c r="A82" s="15">
        <v>45897</v>
      </c>
      <c r="B82" t="s">
        <v>190</v>
      </c>
      <c r="C82" t="s">
        <v>189</v>
      </c>
      <c r="D82">
        <v>7.8250000000000002</v>
      </c>
    </row>
    <row r="83" spans="1:4" x14ac:dyDescent="0.25">
      <c r="A83" s="15">
        <v>45899</v>
      </c>
      <c r="B83" t="s">
        <v>190</v>
      </c>
      <c r="C83" t="s">
        <v>189</v>
      </c>
      <c r="D83">
        <v>7.8250000000000002</v>
      </c>
    </row>
    <row r="84" spans="1:4" x14ac:dyDescent="0.25">
      <c r="A84" s="15">
        <v>45900</v>
      </c>
      <c r="B84" t="s">
        <v>190</v>
      </c>
      <c r="C84" t="s">
        <v>189</v>
      </c>
      <c r="D84">
        <v>7.8250000000000002</v>
      </c>
    </row>
    <row r="85" spans="1:4" x14ac:dyDescent="0.25">
      <c r="A85" s="15">
        <v>45903</v>
      </c>
      <c r="B85" t="s">
        <v>190</v>
      </c>
      <c r="C85" t="s">
        <v>189</v>
      </c>
      <c r="D85">
        <v>8.1</v>
      </c>
    </row>
    <row r="86" spans="1:4" x14ac:dyDescent="0.25">
      <c r="A86" s="15">
        <v>45904</v>
      </c>
      <c r="B86" t="s">
        <v>190</v>
      </c>
      <c r="C86" t="s">
        <v>189</v>
      </c>
      <c r="D86">
        <v>8.1</v>
      </c>
    </row>
    <row r="87" spans="1:4" x14ac:dyDescent="0.25">
      <c r="A87" s="15">
        <v>45905</v>
      </c>
      <c r="B87" t="s">
        <v>190</v>
      </c>
      <c r="C87" t="s">
        <v>189</v>
      </c>
      <c r="D87">
        <v>8.1</v>
      </c>
    </row>
    <row r="88" spans="1:4" x14ac:dyDescent="0.25">
      <c r="A88" s="15">
        <v>45906</v>
      </c>
      <c r="B88" t="s">
        <v>190</v>
      </c>
      <c r="C88" t="s">
        <v>189</v>
      </c>
      <c r="D88">
        <v>8.1</v>
      </c>
    </row>
    <row r="89" spans="1:4" x14ac:dyDescent="0.25">
      <c r="A89" s="15">
        <v>45907</v>
      </c>
      <c r="B89" t="s">
        <v>190</v>
      </c>
      <c r="C89" t="s">
        <v>189</v>
      </c>
      <c r="D89">
        <v>8.1</v>
      </c>
    </row>
    <row r="90" spans="1:4" x14ac:dyDescent="0.25">
      <c r="A90" s="15">
        <v>45910</v>
      </c>
      <c r="B90" t="s">
        <v>190</v>
      </c>
      <c r="C90" t="s">
        <v>189</v>
      </c>
      <c r="D90">
        <v>8.1</v>
      </c>
    </row>
    <row r="91" spans="1:4" x14ac:dyDescent="0.25">
      <c r="A91" s="15">
        <v>45911</v>
      </c>
      <c r="B91" t="s">
        <v>190</v>
      </c>
      <c r="C91" t="s">
        <v>189</v>
      </c>
      <c r="D91">
        <v>8.1</v>
      </c>
    </row>
    <row r="92" spans="1:4" x14ac:dyDescent="0.25">
      <c r="A92" s="15">
        <v>45912</v>
      </c>
      <c r="B92" t="s">
        <v>190</v>
      </c>
      <c r="C92" t="s">
        <v>189</v>
      </c>
      <c r="D92">
        <v>8.1</v>
      </c>
    </row>
    <row r="93" spans="1:4" x14ac:dyDescent="0.25">
      <c r="A93" s="15">
        <v>45913</v>
      </c>
      <c r="B93" t="s">
        <v>190</v>
      </c>
      <c r="C93" t="s">
        <v>189</v>
      </c>
      <c r="D93">
        <v>8.1</v>
      </c>
    </row>
    <row r="94" spans="1:4" x14ac:dyDescent="0.25">
      <c r="A94" s="15">
        <v>45914</v>
      </c>
      <c r="B94" t="s">
        <v>190</v>
      </c>
      <c r="C94" t="s">
        <v>189</v>
      </c>
      <c r="D94">
        <v>8.1</v>
      </c>
    </row>
    <row r="95" spans="1:4" x14ac:dyDescent="0.25">
      <c r="A95" s="15">
        <v>45918</v>
      </c>
      <c r="B95" t="s">
        <v>190</v>
      </c>
      <c r="C95" t="s">
        <v>189</v>
      </c>
      <c r="D95">
        <v>7.6</v>
      </c>
    </row>
    <row r="96" spans="1:4" x14ac:dyDescent="0.25">
      <c r="A96" s="15">
        <v>45919</v>
      </c>
      <c r="B96" t="s">
        <v>190</v>
      </c>
      <c r="C96" t="s">
        <v>189</v>
      </c>
      <c r="D96">
        <v>7.6</v>
      </c>
    </row>
    <row r="97" spans="1:4" x14ac:dyDescent="0.25">
      <c r="A97" s="15">
        <v>45920</v>
      </c>
      <c r="B97" t="s">
        <v>190</v>
      </c>
      <c r="C97" t="s">
        <v>189</v>
      </c>
      <c r="D97">
        <v>7.6</v>
      </c>
    </row>
    <row r="98" spans="1:4" x14ac:dyDescent="0.25">
      <c r="A98" s="15">
        <v>45921</v>
      </c>
      <c r="B98" t="s">
        <v>190</v>
      </c>
      <c r="C98" t="s">
        <v>189</v>
      </c>
      <c r="D98">
        <v>7.6</v>
      </c>
    </row>
    <row r="99" spans="1:4" x14ac:dyDescent="0.25">
      <c r="A99" s="15">
        <v>45922</v>
      </c>
      <c r="B99" t="s">
        <v>190</v>
      </c>
      <c r="C99" t="s">
        <v>189</v>
      </c>
      <c r="D99">
        <v>7.6</v>
      </c>
    </row>
    <row r="100" spans="1:4" x14ac:dyDescent="0.25">
      <c r="A100" s="15">
        <v>45923</v>
      </c>
      <c r="B100" t="s">
        <v>190</v>
      </c>
      <c r="C100" t="s">
        <v>189</v>
      </c>
      <c r="D100">
        <v>7.6</v>
      </c>
    </row>
    <row r="101" spans="1:4" x14ac:dyDescent="0.25">
      <c r="A101" s="15">
        <v>45926</v>
      </c>
      <c r="B101" t="s">
        <v>190</v>
      </c>
      <c r="C101" t="s">
        <v>189</v>
      </c>
      <c r="D101">
        <v>7.6</v>
      </c>
    </row>
    <row r="102" spans="1:4" x14ac:dyDescent="0.25">
      <c r="A102" s="15">
        <v>45927</v>
      </c>
      <c r="B102" t="s">
        <v>190</v>
      </c>
      <c r="C102" t="s">
        <v>189</v>
      </c>
      <c r="D102">
        <v>7.6</v>
      </c>
    </row>
    <row r="103" spans="1:4" x14ac:dyDescent="0.25">
      <c r="A103" s="15">
        <v>45928</v>
      </c>
      <c r="B103" t="s">
        <v>190</v>
      </c>
      <c r="C103" t="s">
        <v>189</v>
      </c>
      <c r="D103">
        <v>7.6</v>
      </c>
    </row>
    <row r="104" spans="1:4" x14ac:dyDescent="0.25">
      <c r="A104" s="15">
        <v>45929</v>
      </c>
      <c r="B104" t="s">
        <v>190</v>
      </c>
      <c r="C104" t="s">
        <v>189</v>
      </c>
      <c r="D104">
        <v>8</v>
      </c>
    </row>
    <row r="105" spans="1:4" x14ac:dyDescent="0.25">
      <c r="A105" s="15">
        <v>45930</v>
      </c>
      <c r="B105" t="s">
        <v>190</v>
      </c>
      <c r="C105" t="s">
        <v>189</v>
      </c>
      <c r="D105">
        <v>8</v>
      </c>
    </row>
    <row r="106" spans="1:4" x14ac:dyDescent="0.25">
      <c r="A106" s="15">
        <v>45931</v>
      </c>
      <c r="B106" t="s">
        <v>190</v>
      </c>
      <c r="C106" t="s">
        <v>189</v>
      </c>
      <c r="D106">
        <v>8</v>
      </c>
    </row>
    <row r="107" spans="1:4" x14ac:dyDescent="0.25">
      <c r="A107" s="15">
        <v>45934</v>
      </c>
      <c r="B107" t="s">
        <v>190</v>
      </c>
      <c r="C107" t="s">
        <v>189</v>
      </c>
      <c r="D107">
        <v>8</v>
      </c>
    </row>
    <row r="108" spans="1:4" x14ac:dyDescent="0.25">
      <c r="A108" s="15">
        <v>45935</v>
      </c>
      <c r="B108" t="s">
        <v>190</v>
      </c>
      <c r="C108" t="s">
        <v>189</v>
      </c>
      <c r="D108">
        <v>8</v>
      </c>
    </row>
    <row r="109" spans="1:4" x14ac:dyDescent="0.25">
      <c r="A109" s="15">
        <v>45936</v>
      </c>
      <c r="B109" t="s">
        <v>190</v>
      </c>
      <c r="C109" t="s">
        <v>189</v>
      </c>
      <c r="D109">
        <v>8</v>
      </c>
    </row>
    <row r="110" spans="1:4" x14ac:dyDescent="0.25">
      <c r="A110" s="15">
        <v>45937</v>
      </c>
      <c r="B110" t="s">
        <v>190</v>
      </c>
      <c r="C110" t="s">
        <v>189</v>
      </c>
      <c r="D110">
        <v>8</v>
      </c>
    </row>
    <row r="111" spans="1:4" x14ac:dyDescent="0.25">
      <c r="A111" s="15">
        <v>45940</v>
      </c>
      <c r="B111" t="s">
        <v>190</v>
      </c>
      <c r="C111" t="s">
        <v>189</v>
      </c>
      <c r="D111">
        <v>8</v>
      </c>
    </row>
    <row r="112" spans="1:4" x14ac:dyDescent="0.25">
      <c r="A112" s="15">
        <v>45941</v>
      </c>
      <c r="B112" t="s">
        <v>190</v>
      </c>
      <c r="C112" t="s">
        <v>189</v>
      </c>
      <c r="D112">
        <v>8</v>
      </c>
    </row>
    <row r="113" spans="1:4" x14ac:dyDescent="0.25">
      <c r="A113" s="15">
        <v>45946</v>
      </c>
      <c r="B113" t="s">
        <v>190</v>
      </c>
      <c r="C113" t="s">
        <v>189</v>
      </c>
      <c r="D113">
        <v>7.5</v>
      </c>
    </row>
    <row r="114" spans="1:4" x14ac:dyDescent="0.25">
      <c r="A114" s="15">
        <v>45947</v>
      </c>
      <c r="B114" t="s">
        <v>190</v>
      </c>
      <c r="C114" t="s">
        <v>189</v>
      </c>
      <c r="D114">
        <v>7.5</v>
      </c>
    </row>
    <row r="115" spans="1:4" x14ac:dyDescent="0.25">
      <c r="A115" s="15">
        <v>45948</v>
      </c>
      <c r="B115" t="s">
        <v>190</v>
      </c>
      <c r="C115" t="s">
        <v>189</v>
      </c>
      <c r="D115">
        <v>7.5</v>
      </c>
    </row>
    <row r="116" spans="1:4" x14ac:dyDescent="0.25">
      <c r="A116" s="15">
        <v>45949</v>
      </c>
      <c r="B116" t="s">
        <v>190</v>
      </c>
      <c r="C116" t="s">
        <v>189</v>
      </c>
      <c r="D116">
        <v>7.5</v>
      </c>
    </row>
    <row r="117" spans="1:4" x14ac:dyDescent="0.25">
      <c r="A117" s="15">
        <v>45950</v>
      </c>
      <c r="B117" t="s">
        <v>190</v>
      </c>
      <c r="C117" t="s">
        <v>189</v>
      </c>
      <c r="D117">
        <v>7.5</v>
      </c>
    </row>
    <row r="118" spans="1:4" x14ac:dyDescent="0.25">
      <c r="A118" s="15">
        <v>45951</v>
      </c>
      <c r="B118" t="s">
        <v>190</v>
      </c>
      <c r="C118" t="s">
        <v>189</v>
      </c>
      <c r="D118">
        <v>7.5</v>
      </c>
    </row>
    <row r="119" spans="1:4" x14ac:dyDescent="0.25">
      <c r="A119" s="15">
        <v>45955</v>
      </c>
      <c r="B119" t="s">
        <v>190</v>
      </c>
      <c r="C119" t="s">
        <v>189</v>
      </c>
      <c r="D119">
        <v>7.5</v>
      </c>
    </row>
    <row r="120" spans="1:4" x14ac:dyDescent="0.25">
      <c r="A120" s="15">
        <v>45956</v>
      </c>
      <c r="B120" t="s">
        <v>190</v>
      </c>
      <c r="C120" t="s">
        <v>189</v>
      </c>
      <c r="D120">
        <v>7.5</v>
      </c>
    </row>
    <row r="121" spans="1:4" x14ac:dyDescent="0.25">
      <c r="A121" s="15">
        <v>45957</v>
      </c>
      <c r="B121" t="s">
        <v>190</v>
      </c>
      <c r="C121" t="s">
        <v>189</v>
      </c>
      <c r="D121">
        <v>7.9</v>
      </c>
    </row>
    <row r="122" spans="1:4" x14ac:dyDescent="0.25">
      <c r="A122" s="15">
        <v>45961</v>
      </c>
      <c r="B122" t="s">
        <v>190</v>
      </c>
      <c r="C122" t="s">
        <v>189</v>
      </c>
      <c r="D122">
        <v>7.9</v>
      </c>
    </row>
    <row r="123" spans="1:4" x14ac:dyDescent="0.25">
      <c r="A123" s="15">
        <v>45962</v>
      </c>
      <c r="B123" t="s">
        <v>190</v>
      </c>
      <c r="C123" t="s">
        <v>189</v>
      </c>
      <c r="D123">
        <v>7.9</v>
      </c>
    </row>
    <row r="124" spans="1:4" x14ac:dyDescent="0.25">
      <c r="A124" s="15">
        <v>45963</v>
      </c>
      <c r="B124" t="s">
        <v>190</v>
      </c>
      <c r="C124" t="s">
        <v>189</v>
      </c>
      <c r="D124">
        <v>7.9</v>
      </c>
    </row>
    <row r="125" spans="1:4" x14ac:dyDescent="0.25">
      <c r="A125" s="15">
        <v>45964</v>
      </c>
      <c r="B125" t="s">
        <v>190</v>
      </c>
      <c r="C125" t="s">
        <v>189</v>
      </c>
      <c r="D125">
        <v>7.9</v>
      </c>
    </row>
    <row r="126" spans="1:4" x14ac:dyDescent="0.25">
      <c r="A126" s="15">
        <v>45967</v>
      </c>
      <c r="B126" t="s">
        <v>190</v>
      </c>
      <c r="C126" t="s">
        <v>189</v>
      </c>
      <c r="D126">
        <v>7.9</v>
      </c>
    </row>
    <row r="127" spans="1:4" x14ac:dyDescent="0.25">
      <c r="A127" s="15">
        <v>45968</v>
      </c>
      <c r="B127" t="s">
        <v>190</v>
      </c>
      <c r="C127" t="s">
        <v>189</v>
      </c>
      <c r="D127">
        <v>7.9</v>
      </c>
    </row>
    <row r="128" spans="1:4" x14ac:dyDescent="0.25">
      <c r="A128" s="15">
        <v>45969</v>
      </c>
      <c r="B128" t="s">
        <v>190</v>
      </c>
      <c r="C128" t="s">
        <v>189</v>
      </c>
      <c r="D128">
        <v>7.9</v>
      </c>
    </row>
    <row r="129" spans="1:4" x14ac:dyDescent="0.25">
      <c r="A129" s="15">
        <v>45970</v>
      </c>
      <c r="B129" t="s">
        <v>190</v>
      </c>
      <c r="C129" t="s">
        <v>189</v>
      </c>
      <c r="D129">
        <v>7.9</v>
      </c>
    </row>
    <row r="130" spans="1:4" x14ac:dyDescent="0.25">
      <c r="A130" s="15">
        <v>45971</v>
      </c>
      <c r="B130" t="s">
        <v>190</v>
      </c>
      <c r="C130" t="s">
        <v>189</v>
      </c>
      <c r="D130">
        <v>9.75</v>
      </c>
    </row>
    <row r="131" spans="1:4" x14ac:dyDescent="0.25">
      <c r="A131" s="15">
        <v>45972</v>
      </c>
      <c r="B131" t="s">
        <v>190</v>
      </c>
      <c r="C131" t="s">
        <v>189</v>
      </c>
      <c r="D131">
        <v>9.75</v>
      </c>
    </row>
    <row r="132" spans="1:4" x14ac:dyDescent="0.25">
      <c r="A132" s="15">
        <v>45975</v>
      </c>
      <c r="B132" t="s">
        <v>190</v>
      </c>
      <c r="C132" t="s">
        <v>189</v>
      </c>
      <c r="D132">
        <v>9.75</v>
      </c>
    </row>
    <row r="133" spans="1:4" x14ac:dyDescent="0.25">
      <c r="A133" s="15">
        <v>45976</v>
      </c>
      <c r="B133" t="s">
        <v>190</v>
      </c>
      <c r="C133" t="s">
        <v>189</v>
      </c>
      <c r="D133">
        <v>9.75</v>
      </c>
    </row>
    <row r="134" spans="1:4" x14ac:dyDescent="0.25">
      <c r="A134" s="15">
        <v>45977</v>
      </c>
      <c r="B134" t="s">
        <v>190</v>
      </c>
      <c r="C134" t="s">
        <v>189</v>
      </c>
      <c r="D134">
        <v>9.75</v>
      </c>
    </row>
    <row r="135" spans="1:4" x14ac:dyDescent="0.25">
      <c r="A135" s="15">
        <v>45824</v>
      </c>
      <c r="B135" t="s">
        <v>193</v>
      </c>
      <c r="C135" t="s">
        <v>194</v>
      </c>
      <c r="D135">
        <v>10</v>
      </c>
    </row>
    <row r="136" spans="1:4" x14ac:dyDescent="0.25">
      <c r="A136" s="15">
        <v>45826</v>
      </c>
      <c r="B136" t="s">
        <v>193</v>
      </c>
      <c r="C136" t="s">
        <v>194</v>
      </c>
      <c r="D136">
        <v>10</v>
      </c>
    </row>
    <row r="137" spans="1:4" x14ac:dyDescent="0.25">
      <c r="A137" s="15">
        <v>45828</v>
      </c>
      <c r="B137" t="s">
        <v>193</v>
      </c>
      <c r="C137" t="s">
        <v>194</v>
      </c>
      <c r="D137">
        <v>10</v>
      </c>
    </row>
    <row r="138" spans="1:4" x14ac:dyDescent="0.25">
      <c r="A138" s="15">
        <v>45829</v>
      </c>
      <c r="B138" t="s">
        <v>193</v>
      </c>
      <c r="C138" t="s">
        <v>194</v>
      </c>
      <c r="D138">
        <v>10</v>
      </c>
    </row>
    <row r="139" spans="1:4" x14ac:dyDescent="0.25">
      <c r="A139" s="15">
        <v>45830</v>
      </c>
      <c r="B139" t="s">
        <v>193</v>
      </c>
      <c r="C139" t="s">
        <v>194</v>
      </c>
      <c r="D139">
        <v>10</v>
      </c>
    </row>
    <row r="140" spans="1:4" x14ac:dyDescent="0.25">
      <c r="A140" s="15">
        <v>45832</v>
      </c>
      <c r="B140" t="s">
        <v>193</v>
      </c>
      <c r="C140" t="s">
        <v>194</v>
      </c>
      <c r="D140">
        <v>9.3000000000000007</v>
      </c>
    </row>
    <row r="141" spans="1:4" x14ac:dyDescent="0.25">
      <c r="A141" s="15">
        <v>45836</v>
      </c>
      <c r="B141" t="s">
        <v>193</v>
      </c>
      <c r="C141" t="s">
        <v>194</v>
      </c>
      <c r="D141">
        <v>9.3000000000000007</v>
      </c>
    </row>
    <row r="142" spans="1:4" x14ac:dyDescent="0.25">
      <c r="A142" s="15">
        <v>45840</v>
      </c>
      <c r="B142" t="s">
        <v>193</v>
      </c>
      <c r="C142" t="s">
        <v>194</v>
      </c>
      <c r="D142">
        <v>6.1</v>
      </c>
    </row>
    <row r="143" spans="1:4" x14ac:dyDescent="0.25">
      <c r="A143" s="15">
        <v>45841</v>
      </c>
      <c r="B143" t="s">
        <v>193</v>
      </c>
      <c r="C143" t="s">
        <v>194</v>
      </c>
      <c r="D143">
        <v>6.1</v>
      </c>
    </row>
    <row r="144" spans="1:4" x14ac:dyDescent="0.25">
      <c r="A144" s="15">
        <v>45850</v>
      </c>
      <c r="B144" t="s">
        <v>193</v>
      </c>
      <c r="C144" t="s">
        <v>194</v>
      </c>
      <c r="D144">
        <v>5.4</v>
      </c>
    </row>
    <row r="145" spans="1:4" x14ac:dyDescent="0.25">
      <c r="A145" s="15">
        <v>45851</v>
      </c>
      <c r="B145" t="s">
        <v>193</v>
      </c>
      <c r="C145" t="s">
        <v>194</v>
      </c>
      <c r="D145">
        <v>5.4</v>
      </c>
    </row>
    <row r="146" spans="1:4" x14ac:dyDescent="0.25">
      <c r="A146" s="15">
        <v>45857</v>
      </c>
      <c r="B146" t="s">
        <v>193</v>
      </c>
      <c r="C146" t="s">
        <v>194</v>
      </c>
      <c r="D146">
        <v>5.4</v>
      </c>
    </row>
    <row r="147" spans="1:4" x14ac:dyDescent="0.25">
      <c r="A147" s="15">
        <v>45858</v>
      </c>
      <c r="B147" t="s">
        <v>193</v>
      </c>
      <c r="C147" t="s">
        <v>194</v>
      </c>
      <c r="D147">
        <v>5.4</v>
      </c>
    </row>
    <row r="148" spans="1:4" x14ac:dyDescent="0.25">
      <c r="A148" s="15">
        <v>45871</v>
      </c>
      <c r="B148" t="s">
        <v>193</v>
      </c>
      <c r="C148" t="s">
        <v>194</v>
      </c>
      <c r="D148">
        <v>6</v>
      </c>
    </row>
    <row r="149" spans="1:4" x14ac:dyDescent="0.25">
      <c r="A149" s="15">
        <v>45872</v>
      </c>
      <c r="B149" t="s">
        <v>193</v>
      </c>
      <c r="C149" t="s">
        <v>194</v>
      </c>
      <c r="D149">
        <v>6</v>
      </c>
    </row>
    <row r="150" spans="1:4" x14ac:dyDescent="0.25">
      <c r="A150" s="15">
        <v>45878</v>
      </c>
      <c r="B150" t="s">
        <v>193</v>
      </c>
      <c r="C150" t="s">
        <v>194</v>
      </c>
      <c r="D150">
        <v>6.8</v>
      </c>
    </row>
    <row r="151" spans="1:4" x14ac:dyDescent="0.25">
      <c r="A151" s="15">
        <v>45885</v>
      </c>
      <c r="B151" t="s">
        <v>193</v>
      </c>
      <c r="C151" t="s">
        <v>194</v>
      </c>
      <c r="D151">
        <v>5.25</v>
      </c>
    </row>
    <row r="152" spans="1:4" x14ac:dyDescent="0.25">
      <c r="A152" s="15">
        <v>45886</v>
      </c>
      <c r="B152" t="s">
        <v>193</v>
      </c>
      <c r="C152" t="s">
        <v>194</v>
      </c>
      <c r="D152">
        <v>5.25</v>
      </c>
    </row>
    <row r="153" spans="1:4" x14ac:dyDescent="0.25">
      <c r="A153" s="15">
        <v>45892</v>
      </c>
      <c r="B153" t="s">
        <v>193</v>
      </c>
      <c r="C153" t="s">
        <v>194</v>
      </c>
      <c r="D153">
        <v>4</v>
      </c>
    </row>
    <row r="154" spans="1:4" x14ac:dyDescent="0.25">
      <c r="A154" s="15">
        <v>45899</v>
      </c>
      <c r="B154" t="s">
        <v>193</v>
      </c>
      <c r="C154" t="s">
        <v>194</v>
      </c>
      <c r="D154">
        <v>4.5999999999999996</v>
      </c>
    </row>
    <row r="155" spans="1:4" x14ac:dyDescent="0.25">
      <c r="A155" s="15">
        <v>45900</v>
      </c>
      <c r="B155" t="s">
        <v>193</v>
      </c>
      <c r="C155" t="s">
        <v>194</v>
      </c>
      <c r="D155">
        <v>4.5</v>
      </c>
    </row>
    <row r="156" spans="1:4" x14ac:dyDescent="0.25">
      <c r="A156" s="15">
        <v>45906</v>
      </c>
      <c r="B156" t="s">
        <v>193</v>
      </c>
      <c r="C156" t="s">
        <v>194</v>
      </c>
      <c r="D156">
        <v>6.4</v>
      </c>
    </row>
    <row r="157" spans="1:4" x14ac:dyDescent="0.25">
      <c r="A157" s="15">
        <v>45907</v>
      </c>
      <c r="B157" t="s">
        <v>193</v>
      </c>
      <c r="C157" t="s">
        <v>194</v>
      </c>
      <c r="D157">
        <v>6.4</v>
      </c>
    </row>
    <row r="158" spans="1:4" x14ac:dyDescent="0.25">
      <c r="A158" s="15">
        <v>45934</v>
      </c>
      <c r="B158" t="s">
        <v>193</v>
      </c>
      <c r="C158" t="s">
        <v>194</v>
      </c>
      <c r="D158">
        <v>5.4</v>
      </c>
    </row>
    <row r="159" spans="1:4" x14ac:dyDescent="0.25">
      <c r="A159" s="15">
        <v>45956</v>
      </c>
      <c r="B159" t="s">
        <v>193</v>
      </c>
      <c r="C159" t="s">
        <v>194</v>
      </c>
      <c r="D159">
        <v>8.3000000000000007</v>
      </c>
    </row>
    <row r="160" spans="1:4" x14ac:dyDescent="0.25">
      <c r="A160" s="15">
        <v>45976</v>
      </c>
      <c r="B160" t="s">
        <v>193</v>
      </c>
      <c r="C160" t="s">
        <v>194</v>
      </c>
      <c r="D160">
        <v>6.3</v>
      </c>
    </row>
    <row r="161" spans="1:4" x14ac:dyDescent="0.25">
      <c r="A161" s="15">
        <v>45977</v>
      </c>
      <c r="B161" t="s">
        <v>193</v>
      </c>
      <c r="C161" t="s">
        <v>194</v>
      </c>
      <c r="D1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garmin_activities</vt:lpstr>
      <vt:lpstr>garmin_steps</vt:lpstr>
      <vt:lpstr>metrics</vt:lpstr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Theng</dc:creator>
  <cp:lastModifiedBy>Xavier Theng</cp:lastModifiedBy>
  <dcterms:created xsi:type="dcterms:W3CDTF">2026-03-16T09:07:10Z</dcterms:created>
  <dcterms:modified xsi:type="dcterms:W3CDTF">2026-03-20T07:44:21Z</dcterms:modified>
</cp:coreProperties>
</file>